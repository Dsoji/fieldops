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ads" sheetId="1" state="visible" r:id="rId3"/>
    <sheet name="Summary" sheetId="2" state="visible" r:id="rId4"/>
    <sheet name="Email templates" sheetId="3" state="visible" r:id="rId5"/>
    <sheet name="How this was built" sheetId="4" state="visible" r:id="rId6"/>
  </sheets>
  <definedNames>
    <definedName function="false" hidden="true" localSheetId="0" name="_xlnm._FilterDatabase" vbProcedure="false">Leads!$A$1:$S$161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<sst xmlns="http://schemas.openxmlformats.org/spreadsheetml/2006/main" count="2651" uniqueCount="1166">
  <si>
    <t xml:space="preserve">Priority</t>
  </si>
  <si>
    <t xml:space="preserve">Company</t>
  </si>
  <si>
    <t xml:space="preserve">Segment</t>
  </si>
  <si>
    <t xml:space="preserve">Sub-type</t>
  </si>
  <si>
    <t xml:space="preserve">Country</t>
  </si>
  <si>
    <t xml:space="preserve">City</t>
  </si>
  <si>
    <t xml:space="preserve">Email</t>
  </si>
  <si>
    <t xml:space="preserve">Email type</t>
  </si>
  <si>
    <t xml:space="preserve">Phone</t>
  </si>
  <si>
    <t xml:space="preserve">Website</t>
  </si>
  <si>
    <t xml:space="preserve">LinkedIn</t>
  </si>
  <si>
    <t xml:space="preserve">What they do</t>
  </si>
  <si>
    <t xml:space="preserve">Why they fit</t>
  </si>
  <si>
    <t xml:space="preserve">Pitch angle</t>
  </si>
  <si>
    <t xml:space="preserve">Demo link path (add to your demo URL)</t>
  </si>
  <si>
    <t xml:space="preserve">Email source</t>
  </si>
  <si>
    <t xml:space="preserve">Status</t>
  </si>
  <si>
    <t xml:space="preserve">Date sent</t>
  </si>
  <si>
    <t xml:space="preserve">Notes</t>
  </si>
  <si>
    <t xml:space="preserve">A</t>
  </si>
  <si>
    <t xml:space="preserve">Dutum Company Limited</t>
  </si>
  <si>
    <t xml:space="preserve">Facility management</t>
  </si>
  <si>
    <t xml:space="preserve">Integrated FM</t>
  </si>
  <si>
    <t xml:space="preserve">Nigeria</t>
  </si>
  <si>
    <t xml:space="preserve">Lagos</t>
  </si>
  <si>
    <t xml:space="preserve">info@dutumgroup.com</t>
  </si>
  <si>
    <t xml:space="preserve">Company inbox</t>
  </si>
  <si>
    <t xml:space="preserve">https://dutumgroup.com/</t>
  </si>
  <si>
    <t xml:space="preserve">Construction and facility management firm offering building FM across Nigeria.</t>
  </si>
  <si>
    <t xml:space="preserve">Core fit: recurring field maintenance across many sites. Multi-location.</t>
  </si>
  <si>
    <t xml:space="preserve">Multi-building portfolio: planned maintenance schedules, technician dispatch and per-building client reporting.</t>
  </si>
  <si>
    <t xml:space="preserve">/demo?industry=facilities&amp;client=Dutum%20Company%20Limited</t>
  </si>
  <si>
    <t xml:space="preserve">https://dutumgroup.com/contact/</t>
  </si>
  <si>
    <t xml:space="preserve">Not contacted</t>
  </si>
  <si>
    <t xml:space="preserve">Elektrint (Nigeria) Limited</t>
  </si>
  <si>
    <t xml:space="preserve">MEP maintenance</t>
  </si>
  <si>
    <t xml:space="preserve">elektrintlagos@elektrint.com</t>
  </si>
  <si>
    <t xml:space="preserve">+234 9 782 2768</t>
  </si>
  <si>
    <t xml:space="preserve">https://www.elektrint.com/</t>
  </si>
  <si>
    <t xml:space="preserve">https://www.linkedin.com/company/elektrint-nigeria-ltd./</t>
  </si>
  <si>
    <t xml:space="preserve">Electromechanical installation and facility maintenance services, with branches in Lagos, Abuja and Port Harcourt.</t>
  </si>
  <si>
    <t xml:space="preserve">Good fit: maintenance work across client sites. Multi-location.</t>
  </si>
  <si>
    <t xml:space="preserve">Maintenance contracts across client buildings: work orders, checklists and proof of work per visit.</t>
  </si>
  <si>
    <t xml:space="preserve">/demo?industry=facilities&amp;client=Elektrint</t>
  </si>
  <si>
    <t xml:space="preserve">Global Property &amp; Facilities International Ltd (GPFI)</t>
  </si>
  <si>
    <t xml:space="preserve">bd@globalpfi.com</t>
  </si>
  <si>
    <t xml:space="preserve">+234 803 332 7649</t>
  </si>
  <si>
    <t xml:space="preserve">https://gpfi.ng/</t>
  </si>
  <si>
    <t xml:space="preserve">https://www.linkedin.com/company/gpfinigeria</t>
  </si>
  <si>
    <t xml:space="preserve">Integrated FM, security and sustainability technology for commercial, residential, healthcare and industrial sites, operating in several African countries.</t>
  </si>
  <si>
    <t xml:space="preserve">/demo?industry=facilities&amp;client=Global%20Property%20%26%20Facilities%20International%20Ltd</t>
  </si>
  <si>
    <t xml:space="preserve">Jide Taiwo &amp; Co.</t>
  </si>
  <si>
    <t xml:space="preserve">Property / estate FM</t>
  </si>
  <si>
    <t xml:space="preserve">info@jidetaiwoandco.com</t>
  </si>
  <si>
    <t xml:space="preserve">https://jidetaiwoandco.com/</t>
  </si>
  <si>
    <t xml:space="preserve">Estate surveying firm with a nationwide facility and property management division for residential, commercial and retail buildings.</t>
  </si>
  <si>
    <t xml:space="preserve">Tenant requests become tracked work orders with technician dispatch and landlord reporting.</t>
  </si>
  <si>
    <t xml:space="preserve">/demo?industry=facilities&amp;client=Jide%20Taiwo%20%26%20Co.</t>
  </si>
  <si>
    <t xml:space="preserve">https://jidetaiwoandco.com/contact.php</t>
  </si>
  <si>
    <t xml:space="preserve">Kleenol Nigeria Limited</t>
  </si>
  <si>
    <t xml:space="preserve">HVAC maintenance</t>
  </si>
  <si>
    <t xml:space="preserve">kleenol@yahoo.co.uk</t>
  </si>
  <si>
    <t xml:space="preserve">Free-mail inbox</t>
  </si>
  <si>
    <t xml:space="preserve">+234 803 506 6601</t>
  </si>
  <si>
    <t xml:space="preserve">https://www.kleenolng.com/</t>
  </si>
  <si>
    <t xml:space="preserve">https://www.linkedin.com/company/kleenol-nigeria-professional-cleaning-services-company/</t>
  </si>
  <si>
    <t xml:space="preserve">FM covering electrical, plumbing, HVAC and generator maintenance (2.5 kVA to 2,500 kVA) as well as cleaning; offices in Lagos and Abuja.</t>
  </si>
  <si>
    <t xml:space="preserve">Annual maintenance contracts: never miss a scheduled service, photo proof for every visit.</t>
  </si>
  <si>
    <t xml:space="preserve">/demo?industry=facilities&amp;client=Kleenol%20Nigeria%20Limited</t>
  </si>
  <si>
    <t xml:space="preserve">Kresta Laurel Limited</t>
  </si>
  <si>
    <t xml:space="preserve">Lifts &amp; escalators</t>
  </si>
  <si>
    <t xml:space="preserve">kresta@krestalaurel.com</t>
  </si>
  <si>
    <t xml:space="preserve">08037959341</t>
  </si>
  <si>
    <t xml:space="preserve">https://krestalaurel.com/</t>
  </si>
  <si>
    <t xml:space="preserve">https://www.linkedin.com/company/kresta-laurel-limited/</t>
  </si>
  <si>
    <t xml:space="preserve">Elevators, escalators, generators, UPS and engineering services, with branches in Lagos, Abuja, Port Harcourt, Ibadan and Uyo.</t>
  </si>
  <si>
    <t xml:space="preserve">Lifts, generators and UPS with five branches.</t>
  </si>
  <si>
    <t xml:space="preserve">Entrapment callouts and statutory inspections: response-time SLAs and inspection records per lift.</t>
  </si>
  <si>
    <t xml:space="preserve">/demo?industry=facilities&amp;client=Kresta%20Laurel%20Limited</t>
  </si>
  <si>
    <t xml:space="preserve">Lift Elevator Craft</t>
  </si>
  <si>
    <t xml:space="preserve">info@liftelevator.com.ng</t>
  </si>
  <si>
    <t xml:space="preserve">+234 802 751 8309</t>
  </si>
  <si>
    <t xml:space="preserve">https://www.liftelevator.com.ng/</t>
  </si>
  <si>
    <t xml:space="preserve">Elevator repair, maintenance and installation for commercial and residential buildings in Lagos, Abuja and Anambra.</t>
  </si>
  <si>
    <t xml:space="preserve">/demo?industry=facilities&amp;client=Lift%20Elevator%20Craft</t>
  </si>
  <si>
    <t xml:space="preserve">Orakl Solutions</t>
  </si>
  <si>
    <t xml:space="preserve">hello@orakl-solutions.com</t>
  </si>
  <si>
    <t xml:space="preserve">+234 913 333 3989</t>
  </si>
  <si>
    <t xml:space="preserve">https://orakl-solutions.com/</t>
  </si>
  <si>
    <t xml:space="preserve">https://www.linkedin.com/company/orakl-solutions/</t>
  </si>
  <si>
    <t xml:space="preserve">Elevator and escalator installation and maintenance, with offices in Lagos, Abuja and Port Harcourt.</t>
  </si>
  <si>
    <t xml:space="preserve">/demo?industry=facilities&amp;client=Orakl%20Solutions</t>
  </si>
  <si>
    <t xml:space="preserve">Sarakeys</t>
  </si>
  <si>
    <t xml:space="preserve">Ota</t>
  </si>
  <si>
    <t xml:space="preserve">info@sarakeys.com.ng</t>
  </si>
  <si>
    <t xml:space="preserve">+234 909 971 7070</t>
  </si>
  <si>
    <t xml:space="preserve">http://www.sarakeys.com.ng/</t>
  </si>
  <si>
    <t xml:space="preserve">Elevator and escalator sales, installation and servicing for commercial and residential buildings.</t>
  </si>
  <si>
    <t xml:space="preserve">Core fit: recurring field maintenance across many sites.</t>
  </si>
  <si>
    <t xml:space="preserve">/demo?industry=facilities&amp;client=Sarakeys</t>
  </si>
  <si>
    <t xml:space="preserve">Solid Rock Facility Managers</t>
  </si>
  <si>
    <t xml:space="preserve">info@solidrockfacilitymanagers.com</t>
  </si>
  <si>
    <t xml:space="preserve">+234 706 448 7048</t>
  </si>
  <si>
    <t xml:space="preserve">http://solidrockfacilitymanagers.com/</t>
  </si>
  <si>
    <t xml:space="preserve">Maintenance and facility management services since 2008, with offices in Lagos, Port Harcourt, Abuja and Ilorin.</t>
  </si>
  <si>
    <t xml:space="preserve">/demo?industry=facilities&amp;client=Solid%20Rock%20Facility%20Managers</t>
  </si>
  <si>
    <t xml:space="preserve">Tecnicool Nigeria Limited</t>
  </si>
  <si>
    <t xml:space="preserve">info@tecnicoolnig.com</t>
  </si>
  <si>
    <t xml:space="preserve">08098899935</t>
  </si>
  <si>
    <t xml:space="preserve">https://tecnicoolnig.com/</t>
  </si>
  <si>
    <t xml:space="preserve">Commercial HVAC sales, installation and maintenance with offices in Lagos, Abuja, Ilorin and Kaduna.</t>
  </si>
  <si>
    <t xml:space="preserve">/demo?industry=facilities&amp;client=Tecnicool%20Nigeria%20Limited</t>
  </si>
  <si>
    <t xml:space="preserve">Ashipa Electric Limited</t>
  </si>
  <si>
    <t xml:space="preserve">Solar</t>
  </si>
  <si>
    <t xml:space="preserve">Mini-grid developer/operator</t>
  </si>
  <si>
    <t xml:space="preserve">Abuja</t>
  </si>
  <si>
    <t xml:space="preserve">info@ashipaelectric.com</t>
  </si>
  <si>
    <t xml:space="preserve">https://www.ashipaelectric.com</t>
  </si>
  <si>
    <t xml:space="preserve">https://www.linkedin.com/company/ashipaelectric/</t>
  </si>
  <si>
    <t xml:space="preserve">Solar, storage, microgrid and EPC services in West Africa and North America; West Africa office in Garki, Abuja</t>
  </si>
  <si>
    <t xml:space="preserve">Many remote sites and funder/lender reporting (DARES, AMDA etc.): GPS-verified O&amp;M visits and photo evidence financiers trust.</t>
  </si>
  <si>
    <t xml:space="preserve">/demo?industry=solar&amp;client=Ashipa%20Electric%20Limited</t>
  </si>
  <si>
    <t xml:space="preserve">DB Energy</t>
  </si>
  <si>
    <t xml:space="preserve">C&amp;I solar / EPC</t>
  </si>
  <si>
    <t xml:space="preserve">Asaba</t>
  </si>
  <si>
    <t xml:space="preserve">info@dbenergy.com.ng</t>
  </si>
  <si>
    <t xml:space="preserve">+234 706 514 9178</t>
  </si>
  <si>
    <t xml:space="preserve">https://www.dbenergy.ng</t>
  </si>
  <si>
    <t xml:space="preserve">https://linkedin.com/company/dbenergy</t>
  </si>
  <si>
    <t xml:space="preserve">Residential and C&amp;I solar installation and maintenance (5MW installed) in Lagos, Abuja, Port Harcourt, Enugu, Benin and Asaba</t>
  </si>
  <si>
    <t xml:space="preserve">Turn one-off installs into recurring maintenance contracts: scheduled PM per site and client-facing service reports.</t>
  </si>
  <si>
    <t xml:space="preserve">/demo?industry=solar&amp;client=DB%20Energy</t>
  </si>
  <si>
    <t xml:space="preserve">Darway Coast Ltd</t>
  </si>
  <si>
    <t xml:space="preserve">support@darwaycoast.com</t>
  </si>
  <si>
    <t xml:space="preserve">0803 3889 202</t>
  </si>
  <si>
    <t xml:space="preserve">https://darwaycoast.com</t>
  </si>
  <si>
    <t xml:space="preserve">https://www.linkedin.com/company/darway-coast-ltd</t>
  </si>
  <si>
    <t xml:space="preserve">Mini-grid developer with 30+ solar mini-grids (~3.5MW) across 8 states and offices in Abuja, Lagos and Owerri; DARES grantee</t>
  </si>
  <si>
    <t xml:space="preserve">/demo?industry=solar&amp;client=Darway%20Coast%20Ltd</t>
  </si>
  <si>
    <t xml:space="preserve">EM-ONE Energy Solutions</t>
  </si>
  <si>
    <t xml:space="preserve">info@emone.energy</t>
  </si>
  <si>
    <t xml:space="preserve">https://www.emone.energy</t>
  </si>
  <si>
    <t xml:space="preserve">https://ca.linkedin.com/company/em-one-energy</t>
  </si>
  <si>
    <t xml:space="preserve">Solar microgrid EPC (3.1MW University of Abuja, 1MW Kano interconnected mini-grid); global HQ in Abuja</t>
  </si>
  <si>
    <t xml:space="preserve">/demo?industry=solar&amp;client=EM-ONE%20Energy%20Solutions</t>
  </si>
  <si>
    <t xml:space="preserve">EtinPower Limited</t>
  </si>
  <si>
    <t xml:space="preserve">Benin City</t>
  </si>
  <si>
    <t xml:space="preserve">info@etinpower.com</t>
  </si>
  <si>
    <t xml:space="preserve">+234 903 175 1422</t>
  </si>
  <si>
    <t xml:space="preserve">https://www.etinpower.com</t>
  </si>
  <si>
    <t xml:space="preserve">https://linkedin.com/company/etinpowerlimited</t>
  </si>
  <si>
    <t xml:space="preserve">Solar mini-grid developer and operator for off-grid communities (e.g. Gbelebu, Edo State); AMDA member</t>
  </si>
  <si>
    <t xml:space="preserve">/demo?industry=solar&amp;client=EtinPower%20Limited</t>
  </si>
  <si>
    <t xml:space="preserve">Greenage Technologies Power Systems</t>
  </si>
  <si>
    <t xml:space="preserve">Enugu</t>
  </si>
  <si>
    <t xml:space="preserve">contact@greenagetech.com</t>
  </si>
  <si>
    <t xml:space="preserve">https://greenagetech.com</t>
  </si>
  <si>
    <t xml:space="preserve">https://ng.linkedin.com/company/greenage-technologies</t>
  </si>
  <si>
    <t xml:space="preserve">Mini-grids, solar installation and engineering, plus its own inverter line (3.5-20KVA)</t>
  </si>
  <si>
    <t xml:space="preserve">/demo?industry=solar&amp;client=Greenage%20Technologies%20Power%20Systems</t>
  </si>
  <si>
    <t xml:space="preserve">https://greenagetech.com/contact-us/</t>
  </si>
  <si>
    <t xml:space="preserve">Havenhill Synergy Ltd</t>
  </si>
  <si>
    <t xml:space="preserve">info@havenhillsynergy.com</t>
  </si>
  <si>
    <t xml:space="preserve">+2347063803881</t>
  </si>
  <si>
    <t xml:space="preserve">https://havenhillsynergy.com</t>
  </si>
  <si>
    <t xml:space="preserve">https://www.linkedin.com/company/havenhill-synergy/</t>
  </si>
  <si>
    <t xml:space="preserve">Clean-tech utility running rural solar mini-grids plus commercial and healthcare solar electrification; received IMAS mini-grid grants</t>
  </si>
  <si>
    <t xml:space="preserve">/demo?industry=solar&amp;client=Havenhill%20Synergy%20Ltd</t>
  </si>
  <si>
    <t xml:space="preserve">Indicel Solar</t>
  </si>
  <si>
    <t xml:space="preserve">info@indicelsolar.com</t>
  </si>
  <si>
    <t xml:space="preserve">+2348108497593</t>
  </si>
  <si>
    <t xml:space="preserve">https://indicelsolar.com</t>
  </si>
  <si>
    <t xml:space="preserve">Residential, hybrid and large-scale solar installation and servicing since 2009; offices in Enugu, Abuja and Asaba</t>
  </si>
  <si>
    <t xml:space="preserve">/demo?industry=solar&amp;client=Indicel%20Solar</t>
  </si>
  <si>
    <t xml:space="preserve">https://indicelsolar.com/contact.php</t>
  </si>
  <si>
    <t xml:space="preserve">Prado Power</t>
  </si>
  <si>
    <t xml:space="preserve">info@pradopower.org</t>
  </si>
  <si>
    <t xml:space="preserve">+234 808 220 9245</t>
  </si>
  <si>
    <t xml:space="preserve">https://www.pradopower.org</t>
  </si>
  <si>
    <t xml:space="preserve">https://www.linkedin.com/company/11107148</t>
  </si>
  <si>
    <t xml:space="preserve">Microgrids, solar installations and energy management for off-grid and underserved communities</t>
  </si>
  <si>
    <t xml:space="preserve">/demo?industry=solar&amp;client=Prado%20Power</t>
  </si>
  <si>
    <t xml:space="preserve">PriVida Power Limited</t>
  </si>
  <si>
    <t xml:space="preserve">info@prividaenergy.com</t>
  </si>
  <si>
    <t xml:space="preserve">+441919085632</t>
  </si>
  <si>
    <t xml:space="preserve">https://www.prividaenergy.com</t>
  </si>
  <si>
    <t xml:space="preserve">https://www.linkedin.com/company/privida-energy</t>
  </si>
  <si>
    <t xml:space="preserve">Mini-grid developer (DARES/NEP grantee, rolling out in 25 communities); Lagos office plus UK office</t>
  </si>
  <si>
    <t xml:space="preserve">/demo?industry=solar&amp;client=PriVida%20Power%20Limited</t>
  </si>
  <si>
    <t xml:space="preserve">Protergia Energy Nigeria</t>
  </si>
  <si>
    <t xml:space="preserve">info@protergiaenergy.com</t>
  </si>
  <si>
    <t xml:space="preserve">+234 806 998 3828</t>
  </si>
  <si>
    <t xml:space="preserve">https://protergiaenergy.com</t>
  </si>
  <si>
    <t xml:space="preserve">https://www.linkedin.com/company/protergiaenergy/</t>
  </si>
  <si>
    <t xml:space="preserve">Clean-energy utility and mini-grid developer for underserved communities; DARES mini-grid grantee</t>
  </si>
  <si>
    <t xml:space="preserve">/demo?industry=solar&amp;client=Protergia%20Energy%20Nigeria</t>
  </si>
  <si>
    <t xml:space="preserve">Rubitec Solar</t>
  </si>
  <si>
    <t xml:space="preserve">info@rubitecsolar.com</t>
  </si>
  <si>
    <t xml:space="preserve">+2347087054296</t>
  </si>
  <si>
    <t xml:space="preserve">https://rubitecsolar.com</t>
  </si>
  <si>
    <t xml:space="preserve">Installs and maintains solar, inverter backup and small hydro/biomass systems, and develops mini-grid electrification projects; IMAS grantee</t>
  </si>
  <si>
    <t xml:space="preserve">/demo?industry=solar&amp;client=Rubitec%20Solar</t>
  </si>
  <si>
    <t xml:space="preserve">Solarlify</t>
  </si>
  <si>
    <t xml:space="preserve">Residential &amp; small commercial installer</t>
  </si>
  <si>
    <t xml:space="preserve">admin@solarlify.com.ng</t>
  </si>
  <si>
    <t xml:space="preserve">090-240-224-84</t>
  </si>
  <si>
    <t xml:space="preserve">https://solarlify.com.ng</t>
  </si>
  <si>
    <t xml:space="preserve">Solar and inverter installation, repair and maintenance; 1,275+ customers and 20+ branches across 7 states</t>
  </si>
  <si>
    <t xml:space="preserve">20+ branches and a service/repair business: dispatch pain.</t>
  </si>
  <si>
    <t xml:space="preserve">High volume of service calls across many homes: dispatch the nearest technician and track repeat faults.</t>
  </si>
  <si>
    <t xml:space="preserve">/demo?industry=solar&amp;client=Solarlify</t>
  </si>
  <si>
    <t xml:space="preserve">Sosai Renewable Energies Company</t>
  </si>
  <si>
    <t xml:space="preserve">Kaduna</t>
  </si>
  <si>
    <t xml:space="preserve">sosai@sosairen.org</t>
  </si>
  <si>
    <t xml:space="preserve">+234 809 230 5719</t>
  </si>
  <si>
    <t xml:space="preserve">https://sosairen.org</t>
  </si>
  <si>
    <t xml:space="preserve">https://www.linkedin.com/company/sosai-renewable-energies-company/</t>
  </si>
  <si>
    <t xml:space="preserve">Mini-grid and household solar developer with offices in Kaduna and Abuja; IMAS grantee</t>
  </si>
  <si>
    <t xml:space="preserve">/demo?industry=solar&amp;client=Sosai%20Renewable%20Energies%20Company</t>
  </si>
  <si>
    <t xml:space="preserve">https://sosairen.org/contact-us/</t>
  </si>
  <si>
    <t xml:space="preserve">Sunhive Limited</t>
  </si>
  <si>
    <t xml:space="preserve">info@sunhive.com</t>
  </si>
  <si>
    <t xml:space="preserve">+234 806 456 5176</t>
  </si>
  <si>
    <t xml:space="preserve">https://sunhive.com</t>
  </si>
  <si>
    <t xml:space="preserve">https://www.linkedin.com/company/sunhive-ltd/</t>
  </si>
  <si>
    <t xml:space="preserve">Solar EPC with 10MWp+ delivered, plus mini-grids and battery storage; hubs in Lagos and Kano</t>
  </si>
  <si>
    <t xml:space="preserve">/demo?industry=solar&amp;client=Sunhive%20Limited</t>
  </si>
  <si>
    <t xml:space="preserve">CETECH Ghana</t>
  </si>
  <si>
    <t xml:space="preserve">Ghana</t>
  </si>
  <si>
    <t xml:space="preserve">support@cetechbpa.com</t>
  </si>
  <si>
    <t xml:space="preserve">+233539003030</t>
  </si>
  <si>
    <t xml:space="preserve">https://cetechbpa.com/</t>
  </si>
  <si>
    <t xml:space="preserve">HVAC/R design, installation, maintenance and repair for residential, commercial and industrial clients across Ghana.</t>
  </si>
  <si>
    <t xml:space="preserve">/demo?industry=facilities&amp;client=CETECH%20Ghana</t>
  </si>
  <si>
    <t xml:space="preserve">https://cetechbpa.com/gh/contact-us/</t>
  </si>
  <si>
    <t xml:space="preserve">Diamond Maintenance Tanzania Limited</t>
  </si>
  <si>
    <t xml:space="preserve">Tanzania</t>
  </si>
  <si>
    <t xml:space="preserve">Dar es Salaam</t>
  </si>
  <si>
    <t xml:space="preserve">info@dm.co.tz</t>
  </si>
  <si>
    <t xml:space="preserve">+255 745 406484</t>
  </si>
  <si>
    <t xml:space="preserve">https://dm.co.tz/</t>
  </si>
  <si>
    <t xml:space="preserve">https://www.linkedin.com/company/dmtl-africa</t>
  </si>
  <si>
    <t xml:space="preserve">Integrated FM company providing property maintenance, technical services, renovation and sanitation across Tanzania.</t>
  </si>
  <si>
    <t xml:space="preserve">/demo?industry=facilities&amp;client=Diamond%20Maintenance%20Tanzania%20Limited</t>
  </si>
  <si>
    <t xml:space="preserve">Elevator Maintenance Company (EMC)</t>
  </si>
  <si>
    <t xml:space="preserve">South Africa</t>
  </si>
  <si>
    <t xml:space="preserve">Pretoria</t>
  </si>
  <si>
    <t xml:space="preserve">sales@elevatorcompany.co.za</t>
  </si>
  <si>
    <t xml:space="preserve">012 377 0606</t>
  </si>
  <si>
    <t xml:space="preserve">https://elevatorcompany.co.za/</t>
  </si>
  <si>
    <t xml:space="preserve">https://www.linkedin.com/company/elevator-maintenance-company/</t>
  </si>
  <si>
    <t xml:space="preserve">Multi-brand lift and elevator maintenance, repair, installation and modernisation across South Africa.</t>
  </si>
  <si>
    <t xml:space="preserve">/demo?industry=facilities&amp;client=Elevator%20Maintenance%20Company</t>
  </si>
  <si>
    <t xml:space="preserve">Facilities Management Solutions (FM Solutions)</t>
  </si>
  <si>
    <t xml:space="preserve">Cape Town</t>
  </si>
  <si>
    <t xml:space="preserve">info@fm-solutions.co.za</t>
  </si>
  <si>
    <t xml:space="preserve">086 002 2175</t>
  </si>
  <si>
    <t xml:space="preserve">https://www.fm-solutions.co.za/</t>
  </si>
  <si>
    <t xml:space="preserve">https://www.linkedin.com/company/afroteq-fm-solutions</t>
  </si>
  <si>
    <t xml:space="preserve">Integrated technical and soft-services FM provider (part of AFMS Group) doing preventive, corrective and emergency repairs, with offices in Cape Town, Midrand, eThekwini, Gqeberha and Gaborone.</t>
  </si>
  <si>
    <t xml:space="preserve">Multi-office technical FM with emergency repairs.</t>
  </si>
  <si>
    <t xml:space="preserve">/demo?industry=facilities&amp;client=Facilities%20Management%20Solutions</t>
  </si>
  <si>
    <t xml:space="preserve">Gamma Heights Engineering</t>
  </si>
  <si>
    <t xml:space="preserve">Accra</t>
  </si>
  <si>
    <t xml:space="preserve">sales@gammaheightseng.com</t>
  </si>
  <si>
    <t xml:space="preserve">+233 24 438 8165</t>
  </si>
  <si>
    <t xml:space="preserve">https://gammaheightseng.com/</t>
  </si>
  <si>
    <t xml:space="preserve">Supply, installation and maintenance of elevators, escalators, moving walkways and dumbwaiters.</t>
  </si>
  <si>
    <t xml:space="preserve">/demo?industry=facilities&amp;client=Gamma%20Heights%20Engineering</t>
  </si>
  <si>
    <t xml:space="preserve">https://gammaheightseng.com/Contact</t>
  </si>
  <si>
    <t xml:space="preserve">LeafySpace (Pty) Ltd</t>
  </si>
  <si>
    <t xml:space="preserve">Kempton Park</t>
  </si>
  <si>
    <t xml:space="preserve">info@leafyspace.co.za</t>
  </si>
  <si>
    <t xml:space="preserve">+27 11 028 7635</t>
  </si>
  <si>
    <t xml:space="preserve">https://leafyspace.co.za/</t>
  </si>
  <si>
    <t xml:space="preserve">https://www.linkedin.com/company/leafyspace/</t>
  </si>
  <si>
    <t xml:space="preserve">Facilities management provider covering building management, maintenance, electrical, plumbing and cleaning across South Africa.</t>
  </si>
  <si>
    <t xml:space="preserve">/demo?industry=facilities&amp;client=LeafySpace</t>
  </si>
  <si>
    <t xml:space="preserve">M-Cool Electro Engineering Services Limited</t>
  </si>
  <si>
    <t xml:space="preserve">Kenya</t>
  </si>
  <si>
    <t xml:space="preserve">Nairobi</t>
  </si>
  <si>
    <t xml:space="preserve">mcoolelectroengineeringlimited@gmail.com</t>
  </si>
  <si>
    <t xml:space="preserve">+254 723 428 167</t>
  </si>
  <si>
    <t xml:space="preserve">https://mcool.co.ke/</t>
  </si>
  <si>
    <t xml:space="preserve">Commercial HVAC, air conditioning, cold room, refrigeration and mechanical ventilation installation and maintenance across Kenya.</t>
  </si>
  <si>
    <t xml:space="preserve">/demo?industry=facilities&amp;client=M-Cool%20Electro%20Engineering%20Services%20Limited</t>
  </si>
  <si>
    <t xml:space="preserve">Musandah Assets Management</t>
  </si>
  <si>
    <t xml:space="preserve">Egypt</t>
  </si>
  <si>
    <t xml:space="preserve">info@musandahfm.com</t>
  </si>
  <si>
    <t xml:space="preserve">https://musandahfm.com/</t>
  </si>
  <si>
    <t xml:space="preserve">https://www.linkedin.com/company/musandahassetsandfm/</t>
  </si>
  <si>
    <t xml:space="preserve">Egyptian integrated FM provider focused on MEP maintenance and asset management nationwide.</t>
  </si>
  <si>
    <t xml:space="preserve">/demo?industry=facilities&amp;client=Musandah%20Assets%20Management</t>
  </si>
  <si>
    <t xml:space="preserve">https://musandahfm.com/contact/</t>
  </si>
  <si>
    <t xml:space="preserve">PKBA Engineering Co</t>
  </si>
  <si>
    <t xml:space="preserve">info@pkbaengineeringco.com</t>
  </si>
  <si>
    <t xml:space="preserve">+233 261609308</t>
  </si>
  <si>
    <t xml:space="preserve">https://pkbaengineeringco.com/</t>
  </si>
  <si>
    <t xml:space="preserve">Air conditioning installation and repair, ventilation, electrical and plumbing services across Ghana.</t>
  </si>
  <si>
    <t xml:space="preserve">/demo?industry=facilities&amp;client=PKBA%20Engineering%20Co</t>
  </si>
  <si>
    <t xml:space="preserve">Relis Lifts</t>
  </si>
  <si>
    <t xml:space="preserve">Midrand</t>
  </si>
  <si>
    <t xml:space="preserve">info@relislifts.co.za</t>
  </si>
  <si>
    <t xml:space="preserve">+27 11 733 4033</t>
  </si>
  <si>
    <t xml:space="preserve">https://relislifts.co.za/</t>
  </si>
  <si>
    <t xml:space="preserve">Lift and escalator company doing installation, maintenance, repair, modernisation and 24-hour emergency callouts across South Africa.</t>
  </si>
  <si>
    <t xml:space="preserve">/demo?industry=facilities&amp;client=Relis%20Lifts</t>
  </si>
  <si>
    <t xml:space="preserve">Rise Elevators</t>
  </si>
  <si>
    <t xml:space="preserve">sales@riseelevators.co.za</t>
  </si>
  <si>
    <t xml:space="preserve">+27 839 381 676</t>
  </si>
  <si>
    <t xml:space="preserve">https://www.riseelevators.co.za/</t>
  </si>
  <si>
    <t xml:space="preserve">Lift and escalator installation, maintenance, repairs, modernisation and safety inspections, with committed emergency response times.</t>
  </si>
  <si>
    <t xml:space="preserve">/demo?industry=facilities&amp;client=Rise%20Elevators</t>
  </si>
  <si>
    <t xml:space="preserve">https://www.riseelevators.co.za/contact</t>
  </si>
  <si>
    <t xml:space="preserve">SPINX (SPXSA)</t>
  </si>
  <si>
    <t xml:space="preserve">fs@spxsa.com</t>
  </si>
  <si>
    <t xml:space="preserve">087 550 0942</t>
  </si>
  <si>
    <t xml:space="preserve">https://spxsa.com/</t>
  </si>
  <si>
    <t xml:space="preserve">National commercial property maintenance firm with 24/7 response, planned maintenance, refurbishments and technical projects across Cape Town, Johannesburg, Pretoria, Durban, Gqeberha and East London.</t>
  </si>
  <si>
    <t xml:space="preserve">National 24/7 maintenance across six cities: core fit.</t>
  </si>
  <si>
    <t xml:space="preserve">/demo?industry=facilities&amp;client=SPINX</t>
  </si>
  <si>
    <t xml:space="preserve">ARC Power Ltd</t>
  </si>
  <si>
    <t xml:space="preserve">Rwanda</t>
  </si>
  <si>
    <t xml:space="preserve">info@arcpower.co</t>
  </si>
  <si>
    <t xml:space="preserve">+250 787 372 047</t>
  </si>
  <si>
    <t xml:space="preserve">https://arcpower.co/</t>
  </si>
  <si>
    <t xml:space="preserve">https://www.linkedin.com/company/arc-power-rw/</t>
  </si>
  <si>
    <t xml:space="preserve">Solar mini-grid developer and operator with offices in Rwanda, Zambia and Mozambique.</t>
  </si>
  <si>
    <t xml:space="preserve">/demo?industry=solar&amp;client=ARC%20Power%20Ltd</t>
  </si>
  <si>
    <t xml:space="preserve">Ariya Finergy</t>
  </si>
  <si>
    <t xml:space="preserve">Solar O&amp;M</t>
  </si>
  <si>
    <t xml:space="preserve">info@ariyafinergy.com</t>
  </si>
  <si>
    <t xml:space="preserve">+254 700 784330</t>
  </si>
  <si>
    <t xml:space="preserve">https://ariyafinergy.com/</t>
  </si>
  <si>
    <t xml:space="preserve">https://www.linkedin.com/company/ariya-finergy</t>
  </si>
  <si>
    <t xml:space="preserve">Designs, finances, builds and runs O&amp;M for industrial solar, battery storage and power stabilisation projects in Kenya, Tanzania and Uganda.</t>
  </si>
  <si>
    <t xml:space="preserve">Runs O&amp;M for industrial solar across East Africa.</t>
  </si>
  <si>
    <t xml:space="preserve">O&amp;M contracts depend on response time and proof of work: SLA tracking, verified site visits, client reports.</t>
  </si>
  <si>
    <t xml:space="preserve">/demo?industry=solar&amp;client=Ariya%20Finergy</t>
  </si>
  <si>
    <t xml:space="preserve">Energy Partners</t>
  </si>
  <si>
    <t xml:space="preserve">info@energypartners.co.za</t>
  </si>
  <si>
    <t xml:space="preserve">+27 21 941 5140</t>
  </si>
  <si>
    <t xml:space="preserve">https://energypartners.co.za/</t>
  </si>
  <si>
    <t xml:space="preserve">https://za.linkedin.com/company/energy-partners-</t>
  </si>
  <si>
    <t xml:space="preserve">Energy solutions for businesses (solar power, refrigeration, steam) with several regional branches.</t>
  </si>
  <si>
    <t xml:space="preserve">/demo?industry=solar&amp;client=Energy%20Partners</t>
  </si>
  <si>
    <t xml:space="preserve">Ensol (T) Limited</t>
  </si>
  <si>
    <t xml:space="preserve">info@ensol.co.tz</t>
  </si>
  <si>
    <t xml:space="preserve">0766 694 413</t>
  </si>
  <si>
    <t xml:space="preserve">https://ensol.co.tz/</t>
  </si>
  <si>
    <t xml:space="preserve">https://www.linkedin.com/company/ensol-tanzania-limited</t>
  </si>
  <si>
    <t xml:space="preserve">Tanzanian-owned electrical and solar EPC contractor and mini-grid developer working across East Africa.</t>
  </si>
  <si>
    <t xml:space="preserve">/demo?industry=solar&amp;client=Ensol</t>
  </si>
  <si>
    <t xml:space="preserve">Equator Energy Ltd</t>
  </si>
  <si>
    <t xml:space="preserve">mail@equator.energy</t>
  </si>
  <si>
    <t xml:space="preserve">+254 741 879 815</t>
  </si>
  <si>
    <t xml:space="preserve">https://equator.energy/</t>
  </si>
  <si>
    <t xml:space="preserve">C&amp;I solar provider on a pay-per-kWh model for tea factories and industry, with in-house O&amp;M teams across Kenya, Uganda and Senegal.</t>
  </si>
  <si>
    <t xml:space="preserve">In-house O&amp;M teams across three countries: core fit.</t>
  </si>
  <si>
    <t xml:space="preserve">/demo?industry=solar&amp;client=Equator%20Energy%20Ltd</t>
  </si>
  <si>
    <t xml:space="preserve">Forest Energy</t>
  </si>
  <si>
    <t xml:space="preserve">sales@forestenergy.co.za</t>
  </si>
  <si>
    <t xml:space="preserve">+27 21 745 9906</t>
  </si>
  <si>
    <t xml:space="preserve">https://www.forestenergy.co.za/</t>
  </si>
  <si>
    <t xml:space="preserve">https://www.linkedin.com/company/forestenergysolutions/</t>
  </si>
  <si>
    <t xml:space="preserve">Commercial solar and battery storage installer with O&amp;M services; offices in Cape Town and Centurion.</t>
  </si>
  <si>
    <t xml:space="preserve">C&amp;I installer with an O&amp;M service line.</t>
  </si>
  <si>
    <t xml:space="preserve">/demo?industry=solar&amp;client=Forest%20Energy</t>
  </si>
  <si>
    <t xml:space="preserve">Jumeme Rural Power Supply</t>
  </si>
  <si>
    <t xml:space="preserve">Mwanza</t>
  </si>
  <si>
    <t xml:space="preserve">info@jumeme.com</t>
  </si>
  <si>
    <t xml:space="preserve">+255 769 486 844</t>
  </si>
  <si>
    <t xml:space="preserve">https://www.jumeme.com/</t>
  </si>
  <si>
    <t xml:space="preserve">Runs solar-battery-diesel hybrid mini-grids serving rural Tanzanian growth centres.</t>
  </si>
  <si>
    <t xml:space="preserve">/demo?industry=solar&amp;client=Jumeme%20Rural%20Power%20Supply</t>
  </si>
  <si>
    <t xml:space="preserve">Muhanya Solar Limited</t>
  </si>
  <si>
    <t xml:space="preserve">Zambia</t>
  </si>
  <si>
    <t xml:space="preserve">Lusaka</t>
  </si>
  <si>
    <t xml:space="preserve">sales@muhanyasolar.com</t>
  </si>
  <si>
    <t xml:space="preserve">+260 770 612 225</t>
  </si>
  <si>
    <t xml:space="preserve">https://www.muhanyasolar.com/</t>
  </si>
  <si>
    <t xml:space="preserve">EPC for solar, battery storage, hybrid, mini-grid and water-pumping systems across Zambia.</t>
  </si>
  <si>
    <t xml:space="preserve">/demo?industry=solar&amp;client=Muhanya%20Solar%20Limited</t>
  </si>
  <si>
    <t xml:space="preserve">New Southern Energy (NSE)</t>
  </si>
  <si>
    <t xml:space="preserve">info@newsouthernenergy.com</t>
  </si>
  <si>
    <t xml:space="preserve">(021) 788 1080</t>
  </si>
  <si>
    <t xml:space="preserve">https://www.nse.africa/</t>
  </si>
  <si>
    <t xml:space="preserve">https://www.linkedin.com/company/new-southern-energy/</t>
  </si>
  <si>
    <t xml:space="preserve">Vertically integrated IPP that designs, builds, operates and maintains renewable assets; offices in Cape Town, Johannesburg and Nairobi.</t>
  </si>
  <si>
    <t xml:space="preserve">/demo?industry=solar&amp;client=New%20Southern%20Energy</t>
  </si>
  <si>
    <t xml:space="preserve">PowerGen Renewable Energy</t>
  </si>
  <si>
    <t xml:space="preserve">info@powergen-re.com</t>
  </si>
  <si>
    <t xml:space="preserve">https://powergen-renewable-energy.com/</t>
  </si>
  <si>
    <t xml:space="preserve">Solar and battery developer for businesses and mini-grid communities, with operations in Kenya, DRC, Nigeria and Sierra Leone.</t>
  </si>
  <si>
    <t xml:space="preserve">/demo?industry=solar&amp;client=PowerGen%20Renewable%20Energy</t>
  </si>
  <si>
    <t xml:space="preserve">PowerHut Renewables Limited</t>
  </si>
  <si>
    <t xml:space="preserve">Arusha</t>
  </si>
  <si>
    <t xml:space="preserve">info@powerhut.co.tz</t>
  </si>
  <si>
    <t xml:space="preserve">+255 762 508 917</t>
  </si>
  <si>
    <t xml:space="preserve">https://powerhut.co.tz/</t>
  </si>
  <si>
    <t xml:space="preserve">Solar mini-grids and commercial solar solutions across Tanzania.</t>
  </si>
  <si>
    <t xml:space="preserve">/demo?industry=solar&amp;client=PowerHut%20Renewables%20Limited</t>
  </si>
  <si>
    <t xml:space="preserve">https://powerhut.co.tz/contact.html</t>
  </si>
  <si>
    <t xml:space="preserve">Safi Power</t>
  </si>
  <si>
    <t xml:space="preserve">sales@safi-power.com</t>
  </si>
  <si>
    <t xml:space="preserve">+254 724 713 857</t>
  </si>
  <si>
    <t xml:space="preserve">https://safi-power.com/</t>
  </si>
  <si>
    <t xml:space="preserve">https://www.linkedin.com/company/safi-power/</t>
  </si>
  <si>
    <t xml:space="preserve">Commercial and industrial solar company delivering renewable energy systems across Eastern Africa.</t>
  </si>
  <si>
    <t xml:space="preserve">/demo?industry=solar&amp;client=Safi%20Power</t>
  </si>
  <si>
    <t xml:space="preserve">Solar O&amp;M South Africa</t>
  </si>
  <si>
    <t xml:space="preserve">Johannesburg</t>
  </si>
  <si>
    <t xml:space="preserve">info@solar-om.co.za</t>
  </si>
  <si>
    <t xml:space="preserve">010 492 0558</t>
  </si>
  <si>
    <t xml:space="preserve">https://www.solar-om.co.za/</t>
  </si>
  <si>
    <t xml:space="preserve">O&amp;M operator for utility solar plants (Lesedi, Letsatsi, Jasper and Greefspan II).</t>
  </si>
  <si>
    <t xml:space="preserve">Pure O&amp;M operator for utility plants: core fit.</t>
  </si>
  <si>
    <t xml:space="preserve">/demo?industry=solar&amp;client=Solar%20O%26M%20South%20Africa</t>
  </si>
  <si>
    <t xml:space="preserve">Solareff</t>
  </si>
  <si>
    <t xml:space="preserve">Roodepoort</t>
  </si>
  <si>
    <t xml:space="preserve">info@solareff.co.za</t>
  </si>
  <si>
    <t xml:space="preserve">+27 11 675 1114</t>
  </si>
  <si>
    <t xml:space="preserve">https://www.solareff.co.za/</t>
  </si>
  <si>
    <t xml:space="preserve">South African renewable energy EPC with a dedicated solar operations and maintenance service.</t>
  </si>
  <si>
    <t xml:space="preserve">EPC with a dedicated O&amp;M service.</t>
  </si>
  <si>
    <t xml:space="preserve">/demo?industry=solar&amp;client=Solareff</t>
  </si>
  <si>
    <t xml:space="preserve">Wilkins Engineering Limited</t>
  </si>
  <si>
    <t xml:space="preserve">info@wilkinsengineering.com</t>
  </si>
  <si>
    <t xml:space="preserve">+233 30 223 5671</t>
  </si>
  <si>
    <t xml:space="preserve">https://wilkinsengineering.com/</t>
  </si>
  <si>
    <t xml:space="preserve">https://www.linkedin.com/company/wilkins-engineering-limited</t>
  </si>
  <si>
    <t xml:space="preserve">Solar and grid EPC contractor working in Ghana and across Africa.</t>
  </si>
  <si>
    <t xml:space="preserve">/demo?industry=solar&amp;client=Wilkins%20Engineering%20Limited</t>
  </si>
  <si>
    <t xml:space="preserve">Crest Technical Services</t>
  </si>
  <si>
    <t xml:space="preserve">No email found</t>
  </si>
  <si>
    <t xml:space="preserve">0803 302 3138</t>
  </si>
  <si>
    <t xml:space="preserve">https://cresttechnicalservices.com/</t>
  </si>
  <si>
    <t xml:space="preserve">Outsourcing and facilities management provider with offices in Lagos and Port Harcourt.</t>
  </si>
  <si>
    <t xml:space="preserve">/demo?industry=facilities&amp;client=Crest%20Technical%20Services</t>
  </si>
  <si>
    <t xml:space="preserve">James Cubitt Facility Managers (JCFM)</t>
  </si>
  <si>
    <t xml:space="preserve">https://www.jamescubittfacilities.com/</t>
  </si>
  <si>
    <t xml:space="preserve">https://ng.linkedin.com/company/james-cubitt-facilities-managers</t>
  </si>
  <si>
    <t xml:space="preserve">Facility management across the building lifecycle with offices in Ikoyi, Victoria Island and Lekki, plus on-call FM and concierge services.</t>
  </si>
  <si>
    <t xml:space="preserve">/demo?industry=facilities&amp;client=James%20Cubitt%20Facility%20Managers</t>
  </si>
  <si>
    <t xml:space="preserve">ACOB Lighting Technology</t>
  </si>
  <si>
    <t xml:space="preserve">https://acoblighting.com</t>
  </si>
  <si>
    <t xml:space="preserve">Mini-grid developer and solar/LED streetlighting installer that also does energy audits for communities; IMAS grantee</t>
  </si>
  <si>
    <t xml:space="preserve">/demo?industry=solar&amp;client=ACOB%20Lighting%20Technology</t>
  </si>
  <si>
    <t xml:space="preserve">Ashdam Solar Company Limited</t>
  </si>
  <si>
    <t xml:space="preserve">Ibadan</t>
  </si>
  <si>
    <t xml:space="preserve">https://ashdamsolar.com</t>
  </si>
  <si>
    <t xml:space="preserve">https://ng.linkedin.com/company/ashdamsolar</t>
  </si>
  <si>
    <t xml:space="preserve">Solar installations, inverter systems, energy consulting and training for homes, business and government; DARES mini-grid grantee</t>
  </si>
  <si>
    <t xml:space="preserve">/demo?industry=solar&amp;client=Ashdam%20Solar%20Company%20Limited</t>
  </si>
  <si>
    <t xml:space="preserve">Ceesolar Energy Limited</t>
  </si>
  <si>
    <t xml:space="preserve">https://www.ceesolar.com</t>
  </si>
  <si>
    <t xml:space="preserve">Mini-grid development, commercial solar installations and energy consultancy</t>
  </si>
  <si>
    <t xml:space="preserve">/demo?industry=solar&amp;client=Ceesolar%20Energy%20Limited</t>
  </si>
  <si>
    <t xml:space="preserve">GVE Projects (Green Village Electricity)</t>
  </si>
  <si>
    <t xml:space="preserve">https://gve-group.com</t>
  </si>
  <si>
    <t xml:space="preserve">Mini-grid developer (e.g. 1MW Wuse Market interconnected mini-grid) that also does residential and C&amp;I solar; IMAS grantee</t>
  </si>
  <si>
    <t xml:space="preserve">/demo?industry=solar&amp;client=GVE%20Projects</t>
  </si>
  <si>
    <t xml:space="preserve">MEP Erictric Technology Ltd</t>
  </si>
  <si>
    <t xml:space="preserve">Kigali</t>
  </si>
  <si>
    <t xml:space="preserve">https://meperictrictech.com/</t>
  </si>
  <si>
    <t xml:space="preserve">MEP contractor (since 2016) that installs and maintains elevators, electrical systems, generators, plumbing and fire safety for buildings.</t>
  </si>
  <si>
    <t xml:space="preserve">/demo?industry=facilities&amp;client=MEP%20Erictric%20Technology%20Ltd</t>
  </si>
  <si>
    <t xml:space="preserve">Standard Microgrid</t>
  </si>
  <si>
    <t xml:space="preserve">https://standardmicrogrid.com/</t>
  </si>
  <si>
    <t xml:space="preserve">Builds and operates rural solar microgrids in Zambia under operating rights from the Rural Electrification Authority.</t>
  </si>
  <si>
    <t xml:space="preserve">/demo?industry=solar&amp;client=Standard%20Microgrid</t>
  </si>
  <si>
    <t xml:space="preserve">B</t>
  </si>
  <si>
    <t xml:space="preserve">Audu Imonikhe &amp; Co</t>
  </si>
  <si>
    <t xml:space="preserve">Port Harcourt</t>
  </si>
  <si>
    <t xml:space="preserve">auduimonikheandco@gmail.com</t>
  </si>
  <si>
    <t xml:space="preserve">0803 370 7068</t>
  </si>
  <si>
    <t xml:space="preserve">https://auduimonikheandco.com/</t>
  </si>
  <si>
    <t xml:space="preserve">Facility and property management in Port Harcourt, including maintenance, utilities coordination and asset management.</t>
  </si>
  <si>
    <t xml:space="preserve">Good fit: maintenance work across client sites.</t>
  </si>
  <si>
    <t xml:space="preserve">/demo?industry=facilities&amp;client=Audu%20Imonikhe%20%26%20Co</t>
  </si>
  <si>
    <t xml:space="preserve">Betacool Engineering Limited</t>
  </si>
  <si>
    <t xml:space="preserve">info@betacoolltd.com</t>
  </si>
  <si>
    <t xml:space="preserve">+234 803 649 6114</t>
  </si>
  <si>
    <t xml:space="preserve">https://betacoolltd.com/</t>
  </si>
  <si>
    <t xml:space="preserve">https://www.linkedin.com/company/betacoolltd</t>
  </si>
  <si>
    <t xml:space="preserve">HVAC and ventilation design, installation and maintenance for residential, commercial and industrial clients.</t>
  </si>
  <si>
    <t xml:space="preserve">/demo?industry=facilities&amp;client=Betacool%20Engineering%20Limited</t>
  </si>
  <si>
    <t xml:space="preserve">Bloom Projects and Facilities Management (Bloom PFM)</t>
  </si>
  <si>
    <t xml:space="preserve">info@bloompfm.com</t>
  </si>
  <si>
    <t xml:space="preserve">+234 814 400 0052</t>
  </si>
  <si>
    <t xml:space="preserve">https://bloompfm.com/</t>
  </si>
  <si>
    <t xml:space="preserve">Integrated FM with hard services (maintenance, technical operations) and soft services for commercial, residential and retail sites.</t>
  </si>
  <si>
    <t xml:space="preserve">/demo?industry=facilities&amp;client=Bloom%20Projects%20and%20Facilities%20Management</t>
  </si>
  <si>
    <t xml:space="preserve">Briscoe Properties Limited</t>
  </si>
  <si>
    <t xml:space="preserve">bpl@rtbriscoe.com</t>
  </si>
  <si>
    <t xml:space="preserve">+234 707 475 4362</t>
  </si>
  <si>
    <t xml:space="preserve">https://briscoeproperties.com/</t>
  </si>
  <si>
    <t xml:space="preserve">https://ng.linkedin.com/company/briscoe-properties-limited</t>
  </si>
  <si>
    <t xml:space="preserve">Property management, facility management and engineering services (part of the R.T. Briscoe group).</t>
  </si>
  <si>
    <t xml:space="preserve">/demo?industry=facilities&amp;client=Briscoe%20Properties%20Limited</t>
  </si>
  <si>
    <t xml:space="preserve">Chrelect Limited</t>
  </si>
  <si>
    <t xml:space="preserve">info@chrelectmep.com</t>
  </si>
  <si>
    <t xml:space="preserve">+234 916 537 2608</t>
  </si>
  <si>
    <t xml:space="preserve">https://chrelectmep.com/</t>
  </si>
  <si>
    <t xml:space="preserve">MEP, sprinkler and fire-protection engineering contractor with a maintenance workforce for long-term and one-off maintenance contracts.</t>
  </si>
  <si>
    <t xml:space="preserve">/demo?industry=facilities&amp;client=Chrelect%20Limited</t>
  </si>
  <si>
    <t xml:space="preserve">Cxall Facilities &amp; Management Services Limited</t>
  </si>
  <si>
    <t xml:space="preserve">info@cxallng.com</t>
  </si>
  <si>
    <t xml:space="preserve">+234 805 114 5531</t>
  </si>
  <si>
    <t xml:space="preserve">https://cxallng.com/</t>
  </si>
  <si>
    <t xml:space="preserve">Building maintenance, renovations, borehole drilling and smart technology installation for residential, commercial and industrial properties (Lagos and Abuja).</t>
  </si>
  <si>
    <t xml:space="preserve">/demo?industry=facilities&amp;client=Cxall%20Facilities%20%26%20Management%20Services%20Limited</t>
  </si>
  <si>
    <t xml:space="preserve">Eko Maintenance Ltd</t>
  </si>
  <si>
    <t xml:space="preserve">info@ekomaintenance.com</t>
  </si>
  <si>
    <t xml:space="preserve">+234 807 627 5442</t>
  </si>
  <si>
    <t xml:space="preserve">https://www.ekomaintenance.com/</t>
  </si>
  <si>
    <t xml:space="preserve">https://www.linkedin.com/company/eko-maintenance-limited/</t>
  </si>
  <si>
    <t xml:space="preserve">Facility and project management: operations, repairs, preventive maintenance and consultancy for buildings and infrastructure.</t>
  </si>
  <si>
    <t xml:space="preserve">/demo?industry=facilities&amp;client=Eko%20Maintenance%20Ltd</t>
  </si>
  <si>
    <t xml:space="preserve">Essential Facility Management</t>
  </si>
  <si>
    <t xml:space="preserve">info@essentialfacilitymgt.com</t>
  </si>
  <si>
    <t xml:space="preserve">+234 806 603 0376</t>
  </si>
  <si>
    <t xml:space="preserve">https://essentialfacilitymgt.com/</t>
  </si>
  <si>
    <t xml:space="preserve">Property and estate facility management, security and project management in Lagos and Abuja.</t>
  </si>
  <si>
    <t xml:space="preserve">/demo?industry=facilities&amp;client=Essential%20Facility%20Management</t>
  </si>
  <si>
    <t xml:space="preserve">Green Facilities Limited</t>
  </si>
  <si>
    <t xml:space="preserve">info@greenfacilitiesltd.com</t>
  </si>
  <si>
    <t xml:space="preserve">+234 809 065 0913</t>
  </si>
  <si>
    <t xml:space="preserve">https://greenfacilitiesltd.com/</t>
  </si>
  <si>
    <t xml:space="preserve">https://www.linkedin.com/company/greenfacltd/</t>
  </si>
  <si>
    <t xml:space="preserve">Victoria Island facility management firm focused on efficiency and sustainability in FM.</t>
  </si>
  <si>
    <t xml:space="preserve">/demo?industry=facilities&amp;client=Green%20Facilities%20Limited</t>
  </si>
  <si>
    <t xml:space="preserve">GreenBox Facilities Limited</t>
  </si>
  <si>
    <t xml:space="preserve">info@greenboxfacilities.com</t>
  </si>
  <si>
    <t xml:space="preserve">+234 817 204 7533</t>
  </si>
  <si>
    <t xml:space="preserve">https://greenboxfacilities.com/</t>
  </si>
  <si>
    <t xml:space="preserve">Technology-driven FM in Abuja, including general MEP, carpentry and civil maintenance, cleaning and pest control.</t>
  </si>
  <si>
    <t xml:space="preserve">/demo?industry=facilities&amp;client=GreenBox%20Facilities%20Limited</t>
  </si>
  <si>
    <t xml:space="preserve">IKON Facilities Limited</t>
  </si>
  <si>
    <t xml:space="preserve">info@ikonfacilities.com</t>
  </si>
  <si>
    <t xml:space="preserve">+234 908 664 4446</t>
  </si>
  <si>
    <t xml:space="preserve">https://ikonfacilities.com/</t>
  </si>
  <si>
    <t xml:space="preserve">https://www.linkedin.com/company/ikon-facilities/</t>
  </si>
  <si>
    <t xml:space="preserve">Fully integrated FM: maintenance, cleaning, security, utilities management and HSE consulting.</t>
  </si>
  <si>
    <t xml:space="preserve">/demo?industry=facilities&amp;client=IKON%20Facilities%20Limited</t>
  </si>
  <si>
    <t xml:space="preserve">Marvel Homes Property Management</t>
  </si>
  <si>
    <t xml:space="preserve">info@marvelhomespm.com</t>
  </si>
  <si>
    <t xml:space="preserve">+234 916 232 3655</t>
  </si>
  <si>
    <t xml:space="preserve">https://www.marvelhomespm.com/</t>
  </si>
  <si>
    <t xml:space="preserve">Corporate facility management and property maintenance services across Lagos.</t>
  </si>
  <si>
    <t xml:space="preserve">/demo?industry=facilities&amp;client=Marvel%20Homes%20Property%20Management</t>
  </si>
  <si>
    <t xml:space="preserve">Max-Migold Ltd</t>
  </si>
  <si>
    <t xml:space="preserve">info@maxmigold.com</t>
  </si>
  <si>
    <t xml:space="preserve">+234 802 202 0122</t>
  </si>
  <si>
    <t xml:space="preserve">https://maxmigold.com/</t>
  </si>
  <si>
    <t xml:space="preserve">Facility management operations, energy management, smart building systems, asset advisory and FM training.</t>
  </si>
  <si>
    <t xml:space="preserve">/demo?industry=facilities&amp;client=Max-Migold%20Ltd</t>
  </si>
  <si>
    <t xml:space="preserve">Mosaic Management Ltd</t>
  </si>
  <si>
    <t xml:space="preserve">info@mosaicmanagementltd.com</t>
  </si>
  <si>
    <t xml:space="preserve">+234 700 667 7790</t>
  </si>
  <si>
    <t xml:space="preserve">https://mosaicmanagementltd.com/</t>
  </si>
  <si>
    <t xml:space="preserve">Integrated infrastructure solutions: real estate/facility services, hygiene, operational risk management and capital project delivery.</t>
  </si>
  <si>
    <t xml:space="preserve">/demo?industry=facilities&amp;client=Mosaic%20Management%20Ltd</t>
  </si>
  <si>
    <t xml:space="preserve">Oviswift Engineering &amp; Consultancy Limited</t>
  </si>
  <si>
    <t xml:space="preserve">contact@oviswift.com</t>
  </si>
  <si>
    <t xml:space="preserve">+234 807 040 0500</t>
  </si>
  <si>
    <t xml:space="preserve">https://oviswift.com/</t>
  </si>
  <si>
    <t xml:space="preserve">https://www.linkedin.com/company/oviswift-enigineering-consultancy-limited/</t>
  </si>
  <si>
    <t xml:space="preserve">FM covering technical maintenance, janitorial, gardening, pest control and waste services, plus engineering and oil and gas consultancy.</t>
  </si>
  <si>
    <t xml:space="preserve">/demo?industry=facilities&amp;client=Oviswift%20Engineering%20%26%20Consultancy%20Limited</t>
  </si>
  <si>
    <t xml:space="preserve">PrimeCool Tech Ltd</t>
  </si>
  <si>
    <t xml:space="preserve">primecooltech.ng@gmail.com</t>
  </si>
  <si>
    <t xml:space="preserve">+234 802 647 1785</t>
  </si>
  <si>
    <t xml:space="preserve">https://primecooltech.ng/</t>
  </si>
  <si>
    <t xml:space="preserve">HVAC installation, repair and maintenance for residential and commercial properties, with a 24/7 emergency service.</t>
  </si>
  <si>
    <t xml:space="preserve">/demo?industry=facilities&amp;client=PrimeCool%20Tech%20Ltd</t>
  </si>
  <si>
    <t xml:space="preserve">Principal Facilities Management Limited (PFML)</t>
  </si>
  <si>
    <t xml:space="preserve">info@principalfml.com</t>
  </si>
  <si>
    <t xml:space="preserve">+234 904 937 1010</t>
  </si>
  <si>
    <t xml:space="preserve">https://principalfml.com/</t>
  </si>
  <si>
    <t xml:space="preserve">https://www.linkedin.com/company/principal-fml</t>
  </si>
  <si>
    <t xml:space="preserve">Integrated FM with technical operations and maintenance, management services and advisory for residential and commercial properties in Abuja and Lagos.</t>
  </si>
  <si>
    <t xml:space="preserve">/demo?industry=facilities&amp;client=Principal%20Facilities%20Management%20Limited</t>
  </si>
  <si>
    <t xml:space="preserve">Provast Limited</t>
  </si>
  <si>
    <t xml:space="preserve">info@provastltd.com</t>
  </si>
  <si>
    <t xml:space="preserve">+234 818 070 2290</t>
  </si>
  <si>
    <t xml:space="preserve">https://provastltd.com/</t>
  </si>
  <si>
    <t xml:space="preserve">https://www.linkedin.com/company/provast-limited/</t>
  </si>
  <si>
    <t xml:space="preserve">Integrated facility management, building maintenance, MEP works, renovation and property management across Lagos.</t>
  </si>
  <si>
    <t xml:space="preserve">/demo?industry=facilities&amp;client=Provast%20Limited</t>
  </si>
  <si>
    <t xml:space="preserve">Prysm Facility Services Limited</t>
  </si>
  <si>
    <t xml:space="preserve">info@prysmfacilities.com</t>
  </si>
  <si>
    <t xml:space="preserve">https://prysmfacilities.com/</t>
  </si>
  <si>
    <t xml:space="preserve">Integrated FM in Nigeria covering cleaning, maintenance, security, HVAC and project management.</t>
  </si>
  <si>
    <t xml:space="preserve">/demo?industry=facilities&amp;client=Prysm%20Facility%20Services%20Limited</t>
  </si>
  <si>
    <t xml:space="preserve">RP Facilities Limited</t>
  </si>
  <si>
    <t xml:space="preserve">business.rpfacilities@gmail.com</t>
  </si>
  <si>
    <t xml:space="preserve">+234 808 585 4001</t>
  </si>
  <si>
    <t xml:space="preserve">https://www.rpfacilities.com/</t>
  </si>
  <si>
    <t xml:space="preserve">https://www.linkedin.com/company/rp-facilities-management/</t>
  </si>
  <si>
    <t xml:space="preserve">Facility management plus water treatment, reverse osmosis and sewage treatment plant services for commercial, healthcare, school and government buildings.</t>
  </si>
  <si>
    <t xml:space="preserve">/demo?industry=facilities&amp;client=RP%20Facilities%20Limited</t>
  </si>
  <si>
    <t xml:space="preserve">Rhapsody FM (AOC Real Estate Group)</t>
  </si>
  <si>
    <t xml:space="preserve">info@aoc-group.net</t>
  </si>
  <si>
    <t xml:space="preserve">+234 818 125 1091</t>
  </si>
  <si>
    <t xml:space="preserve">https://rhapsodyfm.com/</t>
  </si>
  <si>
    <t xml:space="preserve">https://www.linkedin.com/company/aoc-real-estate-group/</t>
  </si>
  <si>
    <t xml:space="preserve">Integrated FM including property and tenant management, manpower and project management.</t>
  </si>
  <si>
    <t xml:space="preserve">/demo?industry=facilities&amp;client=Rhapsody%20FM</t>
  </si>
  <si>
    <t xml:space="preserve">SolidEdge Facilities Services Limited</t>
  </si>
  <si>
    <t xml:space="preserve">helpdesk@sefacilities.com</t>
  </si>
  <si>
    <t xml:space="preserve">+234 703 224 0195</t>
  </si>
  <si>
    <t xml:space="preserve">https://sefacilities.com/</t>
  </si>
  <si>
    <t xml:space="preserve">Technical and non-technical FM and maintenance services for corporate organisations.</t>
  </si>
  <si>
    <t xml:space="preserve">/demo?industry=facilities&amp;client=SolidEdge%20Facilities%20Services%20Limited</t>
  </si>
  <si>
    <t xml:space="preserve">Total Facilities Management Limited (TFML)</t>
  </si>
  <si>
    <t xml:space="preserve">info@tfmlconsultant.com</t>
  </si>
  <si>
    <t xml:space="preserve">+234 701 023 5555</t>
  </si>
  <si>
    <t xml:space="preserve">https://www.tfmlconsultant.com/</t>
  </si>
  <si>
    <t xml:space="preserve">https://ng.linkedin.com/company/tfml</t>
  </si>
  <si>
    <t xml:space="preserve">ISO-certified integrated FM provider with operations in Abuja, Lagos and Enugu.</t>
  </si>
  <si>
    <t xml:space="preserve">/demo?industry=facilities&amp;client=Total%20Facilities%20Management%20Limited</t>
  </si>
  <si>
    <t xml:space="preserve">UPDC Facility Management Ltd (UPDCFM)</t>
  </si>
  <si>
    <t xml:space="preserve">info@updcfm.com</t>
  </si>
  <si>
    <t xml:space="preserve">+234 901 000 3020</t>
  </si>
  <si>
    <t xml:space="preserve">https://updcfm.com/</t>
  </si>
  <si>
    <t xml:space="preserve">https://www.linkedin.com/company/updc-facility-management-limited/</t>
  </si>
  <si>
    <t xml:space="preserve">Management, maintenance and sustainable power solutions for residential, corporate and commercial properties.</t>
  </si>
  <si>
    <t xml:space="preserve">/demo?industry=facilities&amp;client=UPDC%20Facility%20Management%20Ltd</t>
  </si>
  <si>
    <t xml:space="preserve">Alexoll Energy Solutions</t>
  </si>
  <si>
    <t xml:space="preserve">info@alexoll.com</t>
  </si>
  <si>
    <t xml:space="preserve">+2349157683237</t>
  </si>
  <si>
    <t xml:space="preserve">https://alexoll.com</t>
  </si>
  <si>
    <t xml:space="preserve">Residential and commercial solar installer in Port Harcourt (claims 3MW+ generated)</t>
  </si>
  <si>
    <t xml:space="preserve">/demo?industry=solar&amp;client=Alexoll%20Energy%20Solutions</t>
  </si>
  <si>
    <t xml:space="preserve">Eauxwell Nigeria</t>
  </si>
  <si>
    <t xml:space="preserve">info@eauxwell.com</t>
  </si>
  <si>
    <t xml:space="preserve">https://eauxwell.com</t>
  </si>
  <si>
    <t xml:space="preserve">Solar EPC with 120MW+ deployed (rooftop, utility-scale and BESS), plus water engineering</t>
  </si>
  <si>
    <t xml:space="preserve">/demo?industry=solar&amp;client=Eauxwell%20Nigeria</t>
  </si>
  <si>
    <t xml:space="preserve">Gennex Technologies</t>
  </si>
  <si>
    <t xml:space="preserve">customercare@gennextechnologies.com</t>
  </si>
  <si>
    <t xml:space="preserve">02012934490</t>
  </si>
  <si>
    <t xml:space="preserve">https://gennextechnologies.com</t>
  </si>
  <si>
    <t xml:space="preserve">https://www.linkedin.com/company/gennextechnologies/</t>
  </si>
  <si>
    <t xml:space="preserve">Solar sales, distribution and installation with offices in Lekki (HQ) and Abuja</t>
  </si>
  <si>
    <t xml:space="preserve">Smaller jobs; fit depends on service volume. Multi-location.</t>
  </si>
  <si>
    <t xml:space="preserve">/demo?industry=solar&amp;client=Gennex%20Technologies</t>
  </si>
  <si>
    <t xml:space="preserve">https://gennextechnologies.com/contact-us/</t>
  </si>
  <si>
    <t xml:space="preserve">HakunaSolar</t>
  </si>
  <si>
    <t xml:space="preserve">Info@hakunasolar.com</t>
  </si>
  <si>
    <t xml:space="preserve">+234 803 8341853</t>
  </si>
  <si>
    <t xml:space="preserve">https://hakunasolar.com</t>
  </si>
  <si>
    <t xml:space="preserve">Residential and industrial solar/hybrid installer claiming 2,500+ installations</t>
  </si>
  <si>
    <t xml:space="preserve">/demo?industry=solar&amp;client=HakunaSolar</t>
  </si>
  <si>
    <t xml:space="preserve">Solar Force Nigeria</t>
  </si>
  <si>
    <t xml:space="preserve">info@solarforcenigeria.com</t>
  </si>
  <si>
    <t xml:space="preserve">+234 8172 889 357</t>
  </si>
  <si>
    <t xml:space="preserve">https://www.solarforcenigeria.com</t>
  </si>
  <si>
    <t xml:space="preserve">https://ng.linkedin.com/company/solarforce-nigeria-ltd</t>
  </si>
  <si>
    <t xml:space="preserve">Solar EPC for utility-scale and C&amp;I solar and storage projects</t>
  </si>
  <si>
    <t xml:space="preserve">/demo?industry=solar&amp;client=Solar%20Force%20Nigeria</t>
  </si>
  <si>
    <t xml:space="preserve">Bestcare Facilities Management Services</t>
  </si>
  <si>
    <t xml:space="preserve">info@bestcareservices.co.ke</t>
  </si>
  <si>
    <t xml:space="preserve">0722566999</t>
  </si>
  <si>
    <t xml:space="preserve">https://bestcareservices.co.ke/</t>
  </si>
  <si>
    <t xml:space="preserve">Integrated FM and maintenance provider doing HVAC, electrical, plumbing and preventive maintenance alongside cleaning and security.</t>
  </si>
  <si>
    <t xml:space="preserve">/demo?industry=facilities&amp;client=Bestcare%20Facilities%20Management%20Services</t>
  </si>
  <si>
    <t xml:space="preserve">C &amp; C Facilities Management</t>
  </si>
  <si>
    <t xml:space="preserve">ccfm@chezo.africa</t>
  </si>
  <si>
    <t xml:space="preserve">0245469694</t>
  </si>
  <si>
    <t xml:space="preserve">https://cleaning.chezo.africa/</t>
  </si>
  <si>
    <t xml:space="preserve">Facility partner for corporate clients covering property maintenance, generator/UPS/solar management, janitorial, pest control and landscaping.</t>
  </si>
  <si>
    <t xml:space="preserve">/demo?industry=facilities&amp;client=C%20%26%20C%20Facilities%20Management</t>
  </si>
  <si>
    <t xml:space="preserve">CYUSA Technology Africa</t>
  </si>
  <si>
    <t xml:space="preserve">info@cyusatech.com</t>
  </si>
  <si>
    <t xml:space="preserve">+250 788621795</t>
  </si>
  <si>
    <t xml:space="preserve">https://cyusatech.com/</t>
  </si>
  <si>
    <t xml:space="preserve">MEP, HVAC and fire-safety provider offering MEP maintenance contracts, preventive HVAC maintenance and fire-suppression servicing.</t>
  </si>
  <si>
    <t xml:space="preserve">/demo?industry=facilities&amp;client=CYUSA%20Technology%20Africa</t>
  </si>
  <si>
    <t xml:space="preserve">https://cyusatech.com/contact-us/</t>
  </si>
  <si>
    <t xml:space="preserve">Depriss Facilities Management (Depriss Group)</t>
  </si>
  <si>
    <t xml:space="preserve">info@deprissgrp.co.ke</t>
  </si>
  <si>
    <t xml:space="preserve">+254 711 207 777</t>
  </si>
  <si>
    <t xml:space="preserve">https://deprissgrp.co.ke/</t>
  </si>
  <si>
    <t xml:space="preserve">https://www.linkedin.com/company/deprissifm</t>
  </si>
  <si>
    <t xml:space="preserve">Integrated FM provider offering hard and soft services, property oversight and project coordination for residential and commercial clients.</t>
  </si>
  <si>
    <t xml:space="preserve">/demo?industry=facilities&amp;client=Depriss%20Facilities%20Management</t>
  </si>
  <si>
    <t xml:space="preserve">Emdad Facility Management</t>
  </si>
  <si>
    <t xml:space="preserve">New Cairo</t>
  </si>
  <si>
    <t xml:space="preserve">info@emdad-fm.com</t>
  </si>
  <si>
    <t xml:space="preserve">+2 02 230 67 297</t>
  </si>
  <si>
    <t xml:space="preserve">https://emdad-fm.com/</t>
  </si>
  <si>
    <t xml:space="preserve">Egyptian-owned integrated FM provider doing MEP and building maintenance, landscaping, cleaning and pest control for residential and commercial sites.</t>
  </si>
  <si>
    <t xml:space="preserve">/demo?industry=facilities&amp;client=Emdad%20Facility%20Management</t>
  </si>
  <si>
    <t xml:space="preserve">ExperTech FM</t>
  </si>
  <si>
    <t xml:space="preserve">Giza (6th of October)</t>
  </si>
  <si>
    <t xml:space="preserve">info@expertech-eg.com</t>
  </si>
  <si>
    <t xml:space="preserve">+2 010 14 0000 25</t>
  </si>
  <si>
    <t xml:space="preserve">https://expertech-eg.com/</t>
  </si>
  <si>
    <t xml:space="preserve">http://www.linkedin.com/company/expertecheg</t>
  </si>
  <si>
    <t xml:space="preserve">FM provider delivering hard services and MEP maintenance for all types of properties.</t>
  </si>
  <si>
    <t xml:space="preserve">/demo?industry=facilities&amp;client=ExperTech%20FM</t>
  </si>
  <si>
    <t xml:space="preserve">Fides Group</t>
  </si>
  <si>
    <t xml:space="preserve">info@fidesgroupgh.com</t>
  </si>
  <si>
    <t xml:space="preserve">+233 54 0131 789</t>
  </si>
  <si>
    <t xml:space="preserve">https://www.fidesgroupgh.com/</t>
  </si>
  <si>
    <t xml:space="preserve">https://www.linkedin.com/in/fides-group-4a14a7160/</t>
  </si>
  <si>
    <t xml:space="preserve">Integrated facility management and property management firm helping organisations optimise building operations.</t>
  </si>
  <si>
    <t xml:space="preserve">/demo?industry=facilities&amp;client=Fides%20Group</t>
  </si>
  <si>
    <t xml:space="preserve">GNA Real Estate</t>
  </si>
  <si>
    <t xml:space="preserve">support@gna.co.ke</t>
  </si>
  <si>
    <t xml:space="preserve">+254 712 406 060</t>
  </si>
  <si>
    <t xml:space="preserve">https://gna.co.ke/</t>
  </si>
  <si>
    <t xml:space="preserve">https://www.linkedin.com/company/gnarealestate/about/</t>
  </si>
  <si>
    <t xml:space="preserve">Real estate firm offering integrated hard and soft FM, including building maintenance, security, landscaping and waste management.</t>
  </si>
  <si>
    <t xml:space="preserve">/demo?industry=facilities&amp;client=GNA%20Real%20Estate</t>
  </si>
  <si>
    <t xml:space="preserve">Green Space Ltd</t>
  </si>
  <si>
    <t xml:space="preserve">tunga@greenspace.rw</t>
  </si>
  <si>
    <t xml:space="preserve">Named person</t>
  </si>
  <si>
    <t xml:space="preserve">+250 788 312 238</t>
  </si>
  <si>
    <t xml:space="preserve">https://greenspace.rw/</t>
  </si>
  <si>
    <t xml:space="preserve">Project management, infrastructure development and facility management company covering landscaping, building and maintenance.</t>
  </si>
  <si>
    <t xml:space="preserve">/demo?industry=facilities&amp;client=Green%20Space%20Ltd</t>
  </si>
  <si>
    <t xml:space="preserve">H.O.M Egypt</t>
  </si>
  <si>
    <t xml:space="preserve">Cairo</t>
  </si>
  <si>
    <t xml:space="preserve">Info@hom-egypt.com</t>
  </si>
  <si>
    <t xml:space="preserve">0100 4126 378</t>
  </si>
  <si>
    <t xml:space="preserve">https://hom-egypt.com/</t>
  </si>
  <si>
    <t xml:space="preserve">https://www.linkedin.com/company/hom-egyplinkedin-com/</t>
  </si>
  <si>
    <t xml:space="preserve">MEP contracting and service company specialising in electromechanical systems and HVAC.</t>
  </si>
  <si>
    <t xml:space="preserve">/demo?industry=facilities&amp;client=H.O.M%20Egypt</t>
  </si>
  <si>
    <t xml:space="preserve">Handymen Accra</t>
  </si>
  <si>
    <t xml:space="preserve">info@handymenaccra.com</t>
  </si>
  <si>
    <t xml:space="preserve">+233205360000</t>
  </si>
  <si>
    <t xml:space="preserve">https://handymenaccra.com/</t>
  </si>
  <si>
    <t xml:space="preserve">Multi-trade facility maintenance firm (since 1990) serving offices, landlords, property managers and estates, including MEP/HVAC monitoring and scheduled programmes.</t>
  </si>
  <si>
    <t xml:space="preserve">/demo?industry=facilities&amp;client=Handymen%20Accra</t>
  </si>
  <si>
    <t xml:space="preserve">Harvest Facility Management Ltd</t>
  </si>
  <si>
    <t xml:space="preserve">info@harvestfacilities.com</t>
  </si>
  <si>
    <t xml:space="preserve">+254 758 050 800</t>
  </si>
  <si>
    <t xml:space="preserve">https://harvestfacilities.com/</t>
  </si>
  <si>
    <t xml:space="preserve">Technology-driven integrated FM provider focused on asset protection and operational performance for Kenyan critical infrastructure.</t>
  </si>
  <si>
    <t xml:space="preserve">/demo?industry=facilities&amp;client=Harvest%20Facility%20Management%20Ltd</t>
  </si>
  <si>
    <t xml:space="preserve">HotArctic Heating and Cooling</t>
  </si>
  <si>
    <t xml:space="preserve">info@hotarctic.co.ke</t>
  </si>
  <si>
    <t xml:space="preserve">+254 725 125340</t>
  </si>
  <si>
    <t xml:space="preserve">https://hotarctic.co.ke/</t>
  </si>
  <si>
    <t xml:space="preserve">https://www.linkedin.com/in/hotarctic-heating-and-cooling-920a05169/</t>
  </si>
  <si>
    <t xml:space="preserve">Sales, repair, maintenance and commissioning of refrigeration, air conditioning and mechanical ventilation for commercial and residential properties.</t>
  </si>
  <si>
    <t xml:space="preserve">/demo?industry=facilities&amp;client=HotArctic%20Heating%20and%20Cooling</t>
  </si>
  <si>
    <t xml:space="preserve">Kelm Engineering Ghana Ltd</t>
  </si>
  <si>
    <t xml:space="preserve">info@kelmenggh.com</t>
  </si>
  <si>
    <t xml:space="preserve">+233 302 240 455</t>
  </si>
  <si>
    <t xml:space="preserve">https://www.kelmenggh.com/</t>
  </si>
  <si>
    <t xml:space="preserve">MEP engineering contractor that also offers full facility management and preventive maintenance of building systems.</t>
  </si>
  <si>
    <t xml:space="preserve">/demo?industry=facilities&amp;client=Kelm%20Engineering%20Ghana%20Ltd</t>
  </si>
  <si>
    <t xml:space="preserve">Kleenair Tanzania</t>
  </si>
  <si>
    <t xml:space="preserve">info@kleenair.co.tz</t>
  </si>
  <si>
    <t xml:space="preserve">+255 757 995 995</t>
  </si>
  <si>
    <t xml:space="preserve">https://www.kleenair.co.tz/</t>
  </si>
  <si>
    <t xml:space="preserve">Air conditioning servicing, repair, sanitation and installation firm offering annual maintenance contracts.</t>
  </si>
  <si>
    <t xml:space="preserve">/demo?industry=facilities&amp;client=Kleenair%20Tanzania</t>
  </si>
  <si>
    <t xml:space="preserve">Prestige HVAC Ghana Ltd</t>
  </si>
  <si>
    <t xml:space="preserve">info@prestigehvacghltd.com</t>
  </si>
  <si>
    <t xml:space="preserve">+233 240101474</t>
  </si>
  <si>
    <t xml:space="preserve">https://prestigehvacghltd.com/</t>
  </si>
  <si>
    <t xml:space="preserve">Full-range HVAC firm doing AC supply, installation, maintenance and repair, ventilation and industrial refrigeration for commercial and residential clients.</t>
  </si>
  <si>
    <t xml:space="preserve">/demo?industry=facilities&amp;client=Prestige%20HVAC%20Ghana%20Ltd</t>
  </si>
  <si>
    <t xml:space="preserve">Standards Projects and Facility Management</t>
  </si>
  <si>
    <t xml:space="preserve">info@standardsfm.com</t>
  </si>
  <si>
    <t xml:space="preserve">15261</t>
  </si>
  <si>
    <t xml:space="preserve">https://standardsfm.com/</t>
  </si>
  <si>
    <t xml:space="preserve">https://www.linkedin.com/company/standardsfm</t>
  </si>
  <si>
    <t xml:space="preserve">Integrated FM and projects firm covering hard and soft services, operations and maintenance, property management and energy solutions.</t>
  </si>
  <si>
    <t xml:space="preserve">/demo?industry=facilities&amp;client=Standards%20Projects%20and%20Facility%20Management</t>
  </si>
  <si>
    <t xml:space="preserve">TEFLA Group (Tefla Facilities Management)</t>
  </si>
  <si>
    <t xml:space="preserve">info@tefla.co.za</t>
  </si>
  <si>
    <t xml:space="preserve">+27 11 394 2132</t>
  </si>
  <si>
    <t xml:space="preserve">https://tefla.co.za/</t>
  </si>
  <si>
    <t xml:space="preserve">https://www.linkedin.com/company/tefla-group</t>
  </si>
  <si>
    <t xml:space="preserve">Facilities management group that also does engineering, construction, renewable energy and landscaping, offering customised FM contracts.</t>
  </si>
  <si>
    <t xml:space="preserve">/demo?industry=facilities&amp;client=TEFLA%20Group</t>
  </si>
  <si>
    <t xml:space="preserve">THAIS (Tenor Group)</t>
  </si>
  <si>
    <t xml:space="preserve">Morocco</t>
  </si>
  <si>
    <t xml:space="preserve">Casablanca</t>
  </si>
  <si>
    <t xml:space="preserve">contact@thais.ma</t>
  </si>
  <si>
    <t xml:space="preserve">+212 5 22 22 09 55</t>
  </si>
  <si>
    <t xml:space="preserve">https://thais.ma/</t>
  </si>
  <si>
    <t xml:space="preserve">Real estate services company offering multi-technical maintenance and multiservice facility management alongside asset and property management.</t>
  </si>
  <si>
    <t xml:space="preserve">/demo?industry=facilities&amp;client=THAIS</t>
  </si>
  <si>
    <t xml:space="preserve">Together FM</t>
  </si>
  <si>
    <t xml:space="preserve">info@together-fm.com</t>
  </si>
  <si>
    <t xml:space="preserve">01013005111</t>
  </si>
  <si>
    <t xml:space="preserve">https://www.together-fm.com/</t>
  </si>
  <si>
    <t xml:space="preserve">https://www.linkedin.com/company/together-fm/</t>
  </si>
  <si>
    <t xml:space="preserve">Integrated facilities management company offering hard and soft services, supplies and security.</t>
  </si>
  <si>
    <t xml:space="preserve">/demo?industry=facilities&amp;client=Together%20FM</t>
  </si>
  <si>
    <t xml:space="preserve">Tukole</t>
  </si>
  <si>
    <t xml:space="preserve">Uganda</t>
  </si>
  <si>
    <t xml:space="preserve">Kampala</t>
  </si>
  <si>
    <t xml:space="preserve">info@tukole.africa</t>
  </si>
  <si>
    <t xml:space="preserve">https://www.tukole.africa/</t>
  </si>
  <si>
    <t xml:space="preserve">Facility management, commercial cleaning and on-demand technical support for businesses across Uganda.</t>
  </si>
  <si>
    <t xml:space="preserve">/demo?industry=facilities&amp;client=Tukole</t>
  </si>
  <si>
    <t xml:space="preserve">Villa Care Kenya</t>
  </si>
  <si>
    <t xml:space="preserve">info@villacarekenya.com</t>
  </si>
  <si>
    <t xml:space="preserve">+254 721 325 902</t>
  </si>
  <si>
    <t xml:space="preserve">https://villacarekenya.com/</t>
  </si>
  <si>
    <t xml:space="preserve">Facility management firm providing maintenance, asset management, compliance audits and exterior services for commercial and institutional properties.</t>
  </si>
  <si>
    <t xml:space="preserve">/demo?industry=facilities&amp;client=Villa%20Care%20Kenya</t>
  </si>
  <si>
    <t xml:space="preserve">WE-MAINTAIN Property Services</t>
  </si>
  <si>
    <t xml:space="preserve">info@wemaintaingh.com</t>
  </si>
  <si>
    <t xml:space="preserve">+233 303962018</t>
  </si>
  <si>
    <t xml:space="preserve">https://wemaintaingh.com/</t>
  </si>
  <si>
    <t xml:space="preserve">Construction, project management and facility maintenance firm, including mechanical and electrical maintenance, renovations and cleaning.</t>
  </si>
  <si>
    <t xml:space="preserve">/demo?industry=facilities&amp;client=WE-MAINTAIN%20Property%20Services</t>
  </si>
  <si>
    <t xml:space="preserve">Aptech Africa Ltd</t>
  </si>
  <si>
    <t xml:space="preserve">sales@aptechafrica.com</t>
  </si>
  <si>
    <t xml:space="preserve">+256 392 001 689</t>
  </si>
  <si>
    <t xml:space="preserve">https://www.aptechafrica.com/</t>
  </si>
  <si>
    <t xml:space="preserve">Solar EPC and solar water pumping specialist for homes, businesses and industry.</t>
  </si>
  <si>
    <t xml:space="preserve">/demo?industry=solar&amp;client=Aptech%20Africa%20Ltd</t>
  </si>
  <si>
    <t xml:space="preserve">CP Solar Resources Limited</t>
  </si>
  <si>
    <t xml:space="preserve">info@cpsolar.co.ke</t>
  </si>
  <si>
    <t xml:space="preserve">0715 130 130</t>
  </si>
  <si>
    <t xml:space="preserve">https://www.cpsolar.co.ke/</t>
  </si>
  <si>
    <t xml:space="preserve">Installs and maintains commercial solar systems in Kenya.</t>
  </si>
  <si>
    <t xml:space="preserve">/demo?industry=solar&amp;client=CP%20Solar%20Resources%20Limited</t>
  </si>
  <si>
    <t xml:space="preserve">DENG Limited</t>
  </si>
  <si>
    <t xml:space="preserve">info@dengltd.com</t>
  </si>
  <si>
    <t xml:space="preserve">+233 24 431 3261</t>
  </si>
  <si>
    <t xml:space="preserve">https://www.dengltd.com/</t>
  </si>
  <si>
    <t xml:space="preserve">Engineering firm of 30+ years in West Africa covering solar, generator sets, water pumps and LED lighting.</t>
  </si>
  <si>
    <t xml:space="preserve">/demo?industry=solar&amp;client=DENG%20Limited</t>
  </si>
  <si>
    <t xml:space="preserve">Greenlink ReGen</t>
  </si>
  <si>
    <t xml:space="preserve">info@greenlink-regen.com</t>
  </si>
  <si>
    <t xml:space="preserve">+255 779 048 881</t>
  </si>
  <si>
    <t xml:space="preserve">https://greenlink-regen.com/</t>
  </si>
  <si>
    <t xml:space="preserve">https://www.linkedin.com/company/94254543</t>
  </si>
  <si>
    <t xml:space="preserve">Large-scale C&amp;I solar for lodges, hospitals and factories in Tanzania and Zanzibar.</t>
  </si>
  <si>
    <t xml:space="preserve">/demo?industry=solar&amp;client=Greenlink%20ReGen</t>
  </si>
  <si>
    <t xml:space="preserve">Imexolutions</t>
  </si>
  <si>
    <t xml:space="preserve">info@imexolutions.co.ke</t>
  </si>
  <si>
    <t xml:space="preserve">+254 798 266 099</t>
  </si>
  <si>
    <t xml:space="preserve">https://www.imexolutions.co.ke/</t>
  </si>
  <si>
    <t xml:space="preserve">https://www.linkedin.com/company/imexolutions-ltd/</t>
  </si>
  <si>
    <t xml:space="preserve">Award-winning electrical and solar power contractor for commercial and industrial clients (Mombasa Road, Nairobi).</t>
  </si>
  <si>
    <t xml:space="preserve">/demo?industry=solar&amp;client=Imexolutions</t>
  </si>
  <si>
    <t xml:space="preserve">OFGEN Africa</t>
  </si>
  <si>
    <t xml:space="preserve">talk2us@ofgen.africa</t>
  </si>
  <si>
    <t xml:space="preserve">https://ofgen.africa/</t>
  </si>
  <si>
    <t xml:space="preserve">Develops, finances and delivers solar, battery storage and high-voltage grid projects across Sub-Saharan Africa.</t>
  </si>
  <si>
    <t xml:space="preserve">/demo?industry=solar&amp;client=OFGEN%20Africa</t>
  </si>
  <si>
    <t xml:space="preserve">Ozo Solar Limited</t>
  </si>
  <si>
    <t xml:space="preserve">info@ozosolar.com</t>
  </si>
  <si>
    <t xml:space="preserve">+233 240 818 849</t>
  </si>
  <si>
    <t xml:space="preserve">https://www.ozosolar.com/</t>
  </si>
  <si>
    <t xml:space="preserve">Solar installation company with 500+ installations of panels, inverters and batteries across Ghana.</t>
  </si>
  <si>
    <t xml:space="preserve">/demo?industry=solar&amp;client=Ozo%20Solar%20Limited</t>
  </si>
  <si>
    <t xml:space="preserve">Plexus Energy Limited</t>
  </si>
  <si>
    <t xml:space="preserve">info@plexus-energy.co.ke</t>
  </si>
  <si>
    <t xml:space="preserve">+254 720 202040</t>
  </si>
  <si>
    <t xml:space="preserve">https://www.plexus-energy.co.ke/</t>
  </si>
  <si>
    <t xml:space="preserve">https://www.linkedin.com/company/plexus-energy-limited/</t>
  </si>
  <si>
    <t xml:space="preserve">Commercial and industrial solar power systems specialist based in Westlands, Nairobi.</t>
  </si>
  <si>
    <t xml:space="preserve">/demo?industry=solar&amp;client=Plexus%20Energy%20Limited</t>
  </si>
  <si>
    <t xml:space="preserve">Renewvia Energy</t>
  </si>
  <si>
    <t xml:space="preserve">info@renewvia.com</t>
  </si>
  <si>
    <t xml:space="preserve">404-856-4380</t>
  </si>
  <si>
    <t xml:space="preserve">https://www.renewvia.com/</t>
  </si>
  <si>
    <t xml:space="preserve">https://www.linkedin.com/company/renewvia-energy</t>
  </si>
  <si>
    <t xml:space="preserve">Builds, installs and operates solar-plus-battery mini-grids in Kenya and Nigeria (US head office).</t>
  </si>
  <si>
    <t xml:space="preserve">US-headquartered; route to the Africa operations team.</t>
  </si>
  <si>
    <t xml:space="preserve">/demo?industry=solar&amp;client=Renewvia%20Energy</t>
  </si>
  <si>
    <t xml:space="preserve">SOLA Group</t>
  </si>
  <si>
    <t xml:space="preserve">info@solagroup.co.za</t>
  </si>
  <si>
    <t xml:space="preserve">+27 21 421 9764</t>
  </si>
  <si>
    <t xml:space="preserve">https://solagroup.co.za/</t>
  </si>
  <si>
    <t xml:space="preserve">https://www.linkedin.com/company/3302293/</t>
  </si>
  <si>
    <t xml:space="preserve">Vertically integrated South African company providing solar infrastructure, generation and energy storage.</t>
  </si>
  <si>
    <t xml:space="preserve">/demo?industry=solar&amp;client=SOLA%20Group</t>
  </si>
  <si>
    <t xml:space="preserve">Solar EPC (Pty) Ltd</t>
  </si>
  <si>
    <t xml:space="preserve">Honeydew</t>
  </si>
  <si>
    <t xml:space="preserve">info@solarepc.co.za</t>
  </si>
  <si>
    <t xml:space="preserve">010 746 3752</t>
  </si>
  <si>
    <t xml:space="preserve">https://www.solarepc.co.za/</t>
  </si>
  <si>
    <t xml:space="preserve">Solar and storage EPC contractor for residential, commercial, industrial, farm and utility projects.</t>
  </si>
  <si>
    <t xml:space="preserve">/demo?industry=solar&amp;client=Solar%20EPC</t>
  </si>
  <si>
    <t xml:space="preserve">SolarAfrica</t>
  </si>
  <si>
    <t xml:space="preserve">info@solarafrica.com</t>
  </si>
  <si>
    <t xml:space="preserve">(012) 881 4800</t>
  </si>
  <si>
    <t xml:space="preserve">https://solarafrica.com/</t>
  </si>
  <si>
    <t xml:space="preserve">https://www.linkedin.com/company/solarafricasa/</t>
  </si>
  <si>
    <t xml:space="preserve">On-site and virtual (wheeled) clean energy solutions for commercial and industrial businesses.</t>
  </si>
  <si>
    <t xml:space="preserve">/demo?industry=solar&amp;client=SolarAfrica</t>
  </si>
  <si>
    <t xml:space="preserve">SolarXgen</t>
  </si>
  <si>
    <t xml:space="preserve">Sandton</t>
  </si>
  <si>
    <t xml:space="preserve">info@solarxgen.com</t>
  </si>
  <si>
    <t xml:space="preserve">086 999 0399</t>
  </si>
  <si>
    <t xml:space="preserve">https://solarxgen.co.za/</t>
  </si>
  <si>
    <t xml:space="preserve">Financed commercial solar and battery developer for malls, warehouses, factories and schools.</t>
  </si>
  <si>
    <t xml:space="preserve">/demo?industry=solar&amp;client=SolarXgen</t>
  </si>
  <si>
    <t xml:space="preserve">Solargen Technologies Ltd</t>
  </si>
  <si>
    <t xml:space="preserve">info@solargentechnologies.com</t>
  </si>
  <si>
    <t xml:space="preserve">+254 748 707766</t>
  </si>
  <si>
    <t xml:space="preserve">https://solargentechnologies.com/</t>
  </si>
  <si>
    <t xml:space="preserve">https://ke.linkedin.com/company/solargen-technologies</t>
  </si>
  <si>
    <t xml:space="preserve">Solar energy, water and irrigation solutions for commercial and residential clients.</t>
  </si>
  <si>
    <t xml:space="preserve">/demo?industry=solar&amp;client=Solargen%20Technologies%20Ltd</t>
  </si>
  <si>
    <t xml:space="preserve">Specialized Solar Systems</t>
  </si>
  <si>
    <t xml:space="preserve">George</t>
  </si>
  <si>
    <t xml:space="preserve">info@specializedsolarsystems.co.za</t>
  </si>
  <si>
    <t xml:space="preserve">+27(0)44 878 11236</t>
  </si>
  <si>
    <t xml:space="preserve">https://specializedsolarsystems.co.za/</t>
  </si>
  <si>
    <t xml:space="preserve">https://za.linkedin.com/company/specialized-solar-systems</t>
  </si>
  <si>
    <t xml:space="preserve">Custom solar solutions for homes, businesses and farms since 2008.</t>
  </si>
  <si>
    <t xml:space="preserve">/demo?industry=solar&amp;client=Specialized%20Solar%20Systems</t>
  </si>
  <si>
    <t xml:space="preserve">https://specializedsolarsystems.co.za/support/contact/</t>
  </si>
  <si>
    <t xml:space="preserve">Sunbird Solar</t>
  </si>
  <si>
    <t xml:space="preserve">Ballito</t>
  </si>
  <si>
    <t xml:space="preserve">jordan@sunbirdsolar.co.za</t>
  </si>
  <si>
    <t xml:space="preserve">+27 83 468 9783</t>
  </si>
  <si>
    <t xml:space="preserve">https://sunbirdsolar.co.za/</t>
  </si>
  <si>
    <t xml:space="preserve">Solar PV and battery storage EPC for mining, industrial and commercial clients in Southern Africa.</t>
  </si>
  <si>
    <t xml:space="preserve">/demo?industry=solar&amp;client=Sunbird%20Solar</t>
  </si>
  <si>
    <t xml:space="preserve">https://sunbirdsolar.co.za/contact</t>
  </si>
  <si>
    <t xml:space="preserve">Sustainable Power Solutions (SPS)</t>
  </si>
  <si>
    <t xml:space="preserve">Stellenbosch</t>
  </si>
  <si>
    <t xml:space="preserve">contact@sps.africa</t>
  </si>
  <si>
    <t xml:space="preserve">+27 21 851 6308</t>
  </si>
  <si>
    <t xml:space="preserve">https://sps.africa/</t>
  </si>
  <si>
    <t xml:space="preserve">https://www.linkedin.com/company/sustainable-power-solutions/</t>
  </si>
  <si>
    <t xml:space="preserve">Asset manager offering fully funded solar and battery solutions to C&amp;I businesses in sub-Saharan Africa.</t>
  </si>
  <si>
    <t xml:space="preserve">/demo?industry=solar&amp;client=Sustainable%20Power%20Solutions</t>
  </si>
  <si>
    <t xml:space="preserve">Alpha Mead Facilities &amp; Management Services</t>
  </si>
  <si>
    <t xml:space="preserve">https://alphamead.com/</t>
  </si>
  <si>
    <t xml:space="preserve">Large integrated facility management and real estate solutions group.</t>
  </si>
  <si>
    <t xml:space="preserve">Large group; longer sales cycle but big contract potential.</t>
  </si>
  <si>
    <t xml:space="preserve">/demo?industry=facilities&amp;client=Alpha%20Mead%20Facilities%20%26%20Management%20Services</t>
  </si>
  <si>
    <t xml:space="preserve">Eliezer Workplace Management Ltd</t>
  </si>
  <si>
    <t xml:space="preserve">https://eliezergroup.com/</t>
  </si>
  <si>
    <t xml:space="preserve">https://ng.linkedin.com/company/eliezer-workplace-management-ltd</t>
  </si>
  <si>
    <t xml:space="preserve">Ikeja-based facility management company offering FM services, including oil and gas facilities, plus FM training.</t>
  </si>
  <si>
    <t xml:space="preserve">/demo?industry=facilities&amp;client=Eliezer%20Workplace%20Management%20Ltd</t>
  </si>
  <si>
    <t xml:space="preserve">Filmo Facilities Management</t>
  </si>
  <si>
    <t xml:space="preserve">https://filmofacilities.com/</t>
  </si>
  <si>
    <t xml:space="preserve">https://www.linkedin.com/company/filmorealestate/</t>
  </si>
  <si>
    <t xml:space="preserve">Predictive, preventive and reactive maintenance of buildings and estates, plus property management and consultancy.</t>
  </si>
  <si>
    <t xml:space="preserve">/demo?industry=facilities&amp;client=Filmo%20Facilities%20Management</t>
  </si>
  <si>
    <t xml:space="preserve">Blue Camel Energy</t>
  </si>
  <si>
    <t xml:space="preserve">https://bluecamelenergy.com.ng</t>
  </si>
  <si>
    <t xml:space="preserve">https://ng.linkedin.com/company/blue-camel-energy</t>
  </si>
  <si>
    <t xml:space="preserve">Solar, hybrid and off-grid systems for homes, industry and rural electrification; facility in Kakuri, Kaduna</t>
  </si>
  <si>
    <t xml:space="preserve">/demo?industry=solar&amp;client=Blue%20Camel%20Energy</t>
  </si>
  <si>
    <t xml:space="preserve">HIANS Energy Solutions</t>
  </si>
  <si>
    <t xml:space="preserve">https://hiansenergy.com</t>
  </si>
  <si>
    <t xml:space="preserve">Residential and commercial solar and backup systems: design, installation and maintenance, South-East Nigeria</t>
  </si>
  <si>
    <t xml:space="preserve">/demo?industry=solar&amp;client=HIANS%20Energy%20Solutions</t>
  </si>
  <si>
    <t xml:space="preserve">Arab Facility Management (AFM)</t>
  </si>
  <si>
    <t xml:space="preserve">16281</t>
  </si>
  <si>
    <t xml:space="preserve">https://www.afm-eg.com/en</t>
  </si>
  <si>
    <t xml:space="preserve">https://www.linkedin.com/company/arab-facility-management/</t>
  </si>
  <si>
    <t xml:space="preserve">Facility management provider covering hard services (engineering and maintenance), soft services and security across many sectors.</t>
  </si>
  <si>
    <t xml:space="preserve">/demo?industry=facilities&amp;client=Arab%20Facility%20Management</t>
  </si>
  <si>
    <t xml:space="preserve">Facility Solution Group</t>
  </si>
  <si>
    <t xml:space="preserve">Tangier</t>
  </si>
  <si>
    <t xml:space="preserve">https://www.facilitysolutiongroup.ma/</t>
  </si>
  <si>
    <t xml:space="preserve">Multi-technical maintenance firm (HVAC, industrial refrigeration, electrical) with 24/7 response for industrial and commercial clients in Tangier and Tetouan.</t>
  </si>
  <si>
    <t xml:space="preserve">/demo?industry=facilities&amp;client=Facility%20Solution%20Group</t>
  </si>
  <si>
    <t xml:space="preserve">Two Oceans Air Conditioning (TOAC)</t>
  </si>
  <si>
    <t xml:space="preserve">+27 21 551 9885</t>
  </si>
  <si>
    <t xml:space="preserve">https://toac.co.za/</t>
  </si>
  <si>
    <t xml:space="preserve">https://www.linkedin.com/company/two-oceans-airconditioning/</t>
  </si>
  <si>
    <t xml:space="preserve">Industrial and commercial HVAC contractor, 20+ years in business, with a dedicated HVAC maintenance division.</t>
  </si>
  <si>
    <t xml:space="preserve">/demo?industry=facilities&amp;client=Two%20Oceans%20Air%20Conditioning</t>
  </si>
  <si>
    <t xml:space="preserve">Energy Precisions Limited</t>
  </si>
  <si>
    <t xml:space="preserve">054 117 5604</t>
  </si>
  <si>
    <t xml:space="preserve">https://energyprecisions.com/</t>
  </si>
  <si>
    <t xml:space="preserve">Residential, commercial and industrial solar installation with battery storage and energy consulting.</t>
  </si>
  <si>
    <t xml:space="preserve">/demo?industry=solar&amp;client=Energy%20Precisions%20Limited</t>
  </si>
  <si>
    <t xml:space="preserve">Great Lakes Energy Ltd</t>
  </si>
  <si>
    <t xml:space="preserve">+250 784 965 873</t>
  </si>
  <si>
    <t xml:space="preserve">https://www.gle.solar/</t>
  </si>
  <si>
    <t xml:space="preserve">https://rw.linkedin.com/company/greatlakesenergyrwanda</t>
  </si>
  <si>
    <t xml:space="preserve">Long-established Rwandan solar company doing on-grid and off-grid systems and energy audits for factories, farms and businesses.</t>
  </si>
  <si>
    <t xml:space="preserve">/demo?industry=solar&amp;client=Great%20Lakes%20Energy%20Ltd</t>
  </si>
  <si>
    <t xml:space="preserve">C</t>
  </si>
  <si>
    <t xml:space="preserve">9Solar</t>
  </si>
  <si>
    <t xml:space="preserve">info@9solar.ng</t>
  </si>
  <si>
    <t xml:space="preserve">+2349125741773</t>
  </si>
  <si>
    <t xml:space="preserve">https://9solar.ng</t>
  </si>
  <si>
    <t xml:space="preserve">Solar panel and lithium battery maker that also does installation and energy-efficiency consulting</t>
  </si>
  <si>
    <t xml:space="preserve">Mainly a panel/battery manufacturer.</t>
  </si>
  <si>
    <t xml:space="preserve">/demo?industry=solar&amp;client=9Solar</t>
  </si>
  <si>
    <t xml:space="preserve">Auxano Solar</t>
  </si>
  <si>
    <t xml:space="preserve">info@auxanosolar.com</t>
  </si>
  <si>
    <t xml:space="preserve">+234 706 795 6193</t>
  </si>
  <si>
    <t xml:space="preserve">https://auxanosolar.com</t>
  </si>
  <si>
    <t xml:space="preserve">https://www.linkedin.com/in/auxanosolar/</t>
  </si>
  <si>
    <t xml:space="preserve">Solar panel manufacturer (Ibeju-Lekki) and installer with 500+ systems installed</t>
  </si>
  <si>
    <t xml:space="preserve">Mainly a panel manufacturer.</t>
  </si>
  <si>
    <t xml:space="preserve">/demo?industry=solar&amp;client=Auxano%20Solar</t>
  </si>
  <si>
    <t xml:space="preserve">Cloud Energy Photoelectric Ltd</t>
  </si>
  <si>
    <t xml:space="preserve">info@cloudenergy.com.ng</t>
  </si>
  <si>
    <t xml:space="preserve">+2349099000901</t>
  </si>
  <si>
    <t xml:space="preserve">https://cloudenergy.com.ng</t>
  </si>
  <si>
    <t xml:space="preserve">https://www.linkedin.com/company/cloud-energy-photoelectric-limited/</t>
  </si>
  <si>
    <t xml:space="preserve">Solar, inverter and battery supply and installation for homes and businesses</t>
  </si>
  <si>
    <t xml:space="preserve">Smaller jobs; fit depends on service volume.</t>
  </si>
  <si>
    <t xml:space="preserve">/demo?industry=solar&amp;client=Cloud%20Energy%20Photoelectric%20Ltd</t>
  </si>
  <si>
    <t xml:space="preserve">Consistent Energy Ltd</t>
  </si>
  <si>
    <t xml:space="preserve">info@consistent-energy.com</t>
  </si>
  <si>
    <t xml:space="preserve">+2348096940632</t>
  </si>
  <si>
    <t xml:space="preserve">https://www.consistent-energy.com</t>
  </si>
  <si>
    <t xml:space="preserve">Standalone rooftop solar installer for homes and businesses; says it has replaced 2,500+ small generators</t>
  </si>
  <si>
    <t xml:space="preserve">/demo?industry=solar&amp;client=Consistent%20Energy%20Ltd</t>
  </si>
  <si>
    <t xml:space="preserve">Creeds Energy</t>
  </si>
  <si>
    <t xml:space="preserve">info@creedsenergy.com</t>
  </si>
  <si>
    <t xml:space="preserve">+234 916 324 6527</t>
  </si>
  <si>
    <t xml:space="preserve">https://creedsenergy.com</t>
  </si>
  <si>
    <t xml:space="preserve">Solar energy services provider focused on energy access for underserved and unserved communities</t>
  </si>
  <si>
    <t xml:space="preserve">/demo?industry=solar&amp;client=Creeds%20Energy</t>
  </si>
  <si>
    <t xml:space="preserve">Daystar Power</t>
  </si>
  <si>
    <t xml:space="preserve">hello@daystar-power.com</t>
  </si>
  <si>
    <t xml:space="preserve">https://www.daystar-power.com</t>
  </si>
  <si>
    <t xml:space="preserve">https://www.linkedin.com/company/daystar-power-group/</t>
  </si>
  <si>
    <t xml:space="preserve">C&amp;I solar-hybrid provider with 400+ installations and 150MW across 5 countries (larger end of range)</t>
  </si>
  <si>
    <t xml:space="preserve">Large multi-country operator; likely has in-house systems. Aim at ops leadership only.</t>
  </si>
  <si>
    <t xml:space="preserve">/demo?industry=solar&amp;client=Daystar%20Power</t>
  </si>
  <si>
    <t xml:space="preserve">Energy Excell Systems and Solutions</t>
  </si>
  <si>
    <t xml:space="preserve">sales@energyexcell.com</t>
  </si>
  <si>
    <t xml:space="preserve">https://www.energyexcell.com</t>
  </si>
  <si>
    <t xml:space="preserve">Solar home systems and solar-powered farm processing equipment for rural customers, with financing and training</t>
  </si>
  <si>
    <t xml:space="preserve">/demo?industry=solar&amp;client=Energy%20Excell%20Systems%20and%20Solutions</t>
  </si>
  <si>
    <t xml:space="preserve">https://www.energyexcell.com/contact-us/</t>
  </si>
  <si>
    <t xml:space="preserve">Enerplaz</t>
  </si>
  <si>
    <t xml:space="preserve">enerplaz@yahoo.com</t>
  </si>
  <si>
    <t xml:space="preserve">+234 816 255 7331</t>
  </si>
  <si>
    <t xml:space="preserve">https://www.enerplaz.com</t>
  </si>
  <si>
    <t xml:space="preserve">Solar power systems, PayGo solar, EV charging infrastructure and training</t>
  </si>
  <si>
    <t xml:space="preserve">/demo?industry=solar&amp;client=Enerplaz</t>
  </si>
  <si>
    <t xml:space="preserve">https://www.enerplaz.com/contact/</t>
  </si>
  <si>
    <t xml:space="preserve">GreenPower Overseas Limited</t>
  </si>
  <si>
    <t xml:space="preserve">shs@greenpowernig.com</t>
  </si>
  <si>
    <t xml:space="preserve">+2349169989894</t>
  </si>
  <si>
    <t xml:space="preserve">https://greenpower.ng</t>
  </si>
  <si>
    <t xml:space="preserve">https://ng.linkedin.com/company/greenpower-overseas-limited-3208</t>
  </si>
  <si>
    <t xml:space="preserve">Home solar systems with professional installation and flexible payment</t>
  </si>
  <si>
    <t xml:space="preserve">/demo?industry=solar&amp;client=GreenPower%20Overseas%20Limited</t>
  </si>
  <si>
    <t xml:space="preserve">Salpha Energy</t>
  </si>
  <si>
    <t xml:space="preserve">info@salphaenergy.com</t>
  </si>
  <si>
    <t xml:space="preserve">https://salphaenergy.com</t>
  </si>
  <si>
    <t xml:space="preserve">Standalone solar kits, inverters and power stations for off-grid customers; DARES standalone-solar grantee</t>
  </si>
  <si>
    <t xml:space="preserve">/demo?industry=solar&amp;client=Salpha%20Energy</t>
  </si>
  <si>
    <t xml:space="preserve">https://salphaenergy.com/support/contact-us</t>
  </si>
  <si>
    <t xml:space="preserve">Solynta Energy</t>
  </si>
  <si>
    <t xml:space="preserve">solar@solyntaenergy.com</t>
  </si>
  <si>
    <t xml:space="preserve">+234 705 300 8625</t>
  </si>
  <si>
    <t xml:space="preserve">https://www.solyntaenergy.com</t>
  </si>
  <si>
    <t xml:space="preserve">https://ng.linkedin.com/company/solynta-energy</t>
  </si>
  <si>
    <t xml:space="preserve">Urban home solar on a subscription model (1-5kW packages)</t>
  </si>
  <si>
    <t xml:space="preserve">/demo?industry=solar&amp;client=Solynta%20Energy</t>
  </si>
  <si>
    <t xml:space="preserve">Starsight Energy</t>
  </si>
  <si>
    <t xml:space="preserve">info@starsightenergy.com</t>
  </si>
  <si>
    <t xml:space="preserve">+234 703 976 6163</t>
  </si>
  <si>
    <t xml:space="preserve">https://starsightenergy.com</t>
  </si>
  <si>
    <t xml:space="preserve">https://www.linkedin.com/company/starsight-power-utility-limited/</t>
  </si>
  <si>
    <t xml:space="preserve">C&amp;I clean-energy provider serving commercial clients in 7 African countries (larger end of range)</t>
  </si>
  <si>
    <t xml:space="preserve">Large multi-country operator; likely has in-house systems.</t>
  </si>
  <si>
    <t xml:space="preserve">/demo?industry=solar&amp;client=Starsight%20Energy</t>
  </si>
  <si>
    <t xml:space="preserve">Kusoya Limited</t>
  </si>
  <si>
    <t xml:space="preserve">info@kusoya.com</t>
  </si>
  <si>
    <t xml:space="preserve">+254 757 739 603</t>
  </si>
  <si>
    <t xml:space="preserve">https://www.kusoya.com/</t>
  </si>
  <si>
    <t xml:space="preserve">https://www.linkedin.com/company/kusoya-limited/</t>
  </si>
  <si>
    <t xml:space="preserve">Integrated FM provider that combines its own AI-powered platform with on-the-ground services to run facilities.</t>
  </si>
  <si>
    <t xml:space="preserve">Already runs its own AI-powered FM platform: potential partner rather than client.</t>
  </si>
  <si>
    <t xml:space="preserve">/demo?industry=facilities&amp;client=Kusoya%20Limited</t>
  </si>
  <si>
    <t xml:space="preserve">Naiko Engineering</t>
  </si>
  <si>
    <t xml:space="preserve">info@naikosolar.com</t>
  </si>
  <si>
    <t xml:space="preserve">+233 244 503 246</t>
  </si>
  <si>
    <t xml:space="preserve">https://naikosolar.com/</t>
  </si>
  <si>
    <t xml:space="preserve">Ghanaian solar solutions provider and installer with over ten years of experience.</t>
  </si>
  <si>
    <t xml:space="preserve">/demo?industry=solar&amp;client=Naiko%20Engineering</t>
  </si>
  <si>
    <t xml:space="preserve">Translight Solar Ltd</t>
  </si>
  <si>
    <t xml:space="preserve">info@translightsolar.com</t>
  </si>
  <si>
    <t xml:space="preserve">0206542454</t>
  </si>
  <si>
    <t xml:space="preserve">https://translightsolar.com/</t>
  </si>
  <si>
    <t xml:space="preserve">https://gh.linkedin.com/company/translightsolar</t>
  </si>
  <si>
    <t xml:space="preserve">Solar technology and smart energy management company serving homes and businesses in Ghana.</t>
  </si>
  <si>
    <t xml:space="preserve">/demo?industry=solar&amp;client=Translight%20Solar%20Ltd</t>
  </si>
  <si>
    <t xml:space="preserve">Versofy</t>
  </si>
  <si>
    <t xml:space="preserve">sales@versofy.energy</t>
  </si>
  <si>
    <t xml:space="preserve">018 811 5013</t>
  </si>
  <si>
    <t xml:space="preserve">https://www.versofy.energy/</t>
  </si>
  <si>
    <t xml:space="preserve">https://www.linkedin.com/company/versofy/</t>
  </si>
  <si>
    <t xml:space="preserve">Solar-as-a-service provider with subscription solar and battery systems for homes and businesses in all nine provinces.</t>
  </si>
  <si>
    <t xml:space="preserve">/demo?industry=solar&amp;client=Versofy</t>
  </si>
  <si>
    <t xml:space="preserve">ASOLAR Nigeria</t>
  </si>
  <si>
    <t xml:space="preserve">09070362210</t>
  </si>
  <si>
    <t xml:space="preserve">https://asolarnig.com</t>
  </si>
  <si>
    <t xml:space="preserve">https://ng.linkedin.com/company/asolar-nigeria</t>
  </si>
  <si>
    <t xml:space="preserve">Off-grid solar provider for underserved communities since 2016; DARES standalone-solar grantee</t>
  </si>
  <si>
    <t xml:space="preserve">/demo?industry=solar&amp;client=ASOLAR%20Nigeria</t>
  </si>
  <si>
    <t xml:space="preserve">Arnergy</t>
  </si>
  <si>
    <t xml:space="preserve">https://www.arnergy.com</t>
  </si>
  <si>
    <t xml:space="preserve">https://www.linkedin.com/company/arnergy</t>
  </si>
  <si>
    <t xml:space="preserve">Solar and battery systems for homes and businesses (lease-to-own, C&amp;I installs for healthcare and retail)</t>
  </si>
  <si>
    <t xml:space="preserve">Well-funded, tech-led; likely builds its own tools.</t>
  </si>
  <si>
    <t xml:space="preserve">/demo?industry=solar&amp;client=Arnergy</t>
  </si>
  <si>
    <t xml:space="preserve">Rhino Energy Solutions</t>
  </si>
  <si>
    <t xml:space="preserve">011 704 5678</t>
  </si>
  <si>
    <t xml:space="preserve">https://rhinoenergy.co.za/</t>
  </si>
  <si>
    <t xml:space="preserve">Renewable energy solutions provider focused on solar in South Africa.</t>
  </si>
  <si>
    <t xml:space="preserve">/demo?industry=solar&amp;client=Rhino%20Energy%20Solutions</t>
  </si>
  <si>
    <t xml:space="preserve">SolarNow</t>
  </si>
  <si>
    <t xml:space="preserve">https://www.solarnow.eu/</t>
  </si>
  <si>
    <t xml:space="preserve">Solar energy systems with service and support for businesses, institutions and homes in Uganda and Kenya.</t>
  </si>
  <si>
    <t xml:space="preserve">Large PAYGo-style operator; likely in-house software.</t>
  </si>
  <si>
    <t xml:space="preserve">/demo?industry=solar&amp;client=SolarNow</t>
  </si>
  <si>
    <t xml:space="preserve">Lead list summary</t>
  </si>
  <si>
    <t xml:space="preserve">All counts are live formulas over the Leads tab.</t>
  </si>
  <si>
    <t xml:space="preserve">Facility mgmt</t>
  </si>
  <si>
    <t xml:space="preserve">Total</t>
  </si>
  <si>
    <t xml:space="preserve">With email</t>
  </si>
  <si>
    <t xml:space="preserve">Priority A</t>
  </si>
  <si>
    <t xml:space="preserve">Leads</t>
  </si>
  <si>
    <t xml:space="preserve">Meaning</t>
  </si>
  <si>
    <t xml:space="preserve">Core fit: recurring field maintenance across many sites. Start here.</t>
  </si>
  <si>
    <t xml:space="preserve">Good fit; qualify on a call.</t>
  </si>
  <si>
    <t xml:space="preserve">Weaker fit (very large, in-house tech, or mostly product sales).</t>
  </si>
  <si>
    <t xml:space="preserve">Outreach status</t>
  </si>
  <si>
    <t xml:space="preserve">Count</t>
  </si>
  <si>
    <t xml:space="preserve">Sent</t>
  </si>
  <si>
    <t xml:space="preserve">Follow-up 1 sent</t>
  </si>
  <si>
    <t xml:space="preserve">Follow-up 2 sent</t>
  </si>
  <si>
    <t xml:space="preserve">Replied</t>
  </si>
  <si>
    <t xml:space="preserve">Meeting booked</t>
  </si>
  <si>
    <t xml:space="preserve">Not interested</t>
  </si>
  <si>
    <t xml:space="preserve">Bounced</t>
  </si>
  <si>
    <t xml:space="preserve">Cold email templates</t>
  </si>
  <si>
    <t xml:space="preserve">Replace {{Company}}, {{FirstName}} and {{DemoLink}} (your demo URL + the row's demo link path). Keep it plain text, one link, no attachments.</t>
  </si>
  <si>
    <t xml:space="preserve">Step</t>
  </si>
  <si>
    <t xml:space="preserve">Subject / body</t>
  </si>
  <si>
    <t xml:space="preserve">Solar &amp; mini-grids</t>
  </si>
  <si>
    <t xml:space="preserve">Email 1 (day 0)</t>
  </si>
  <si>
    <t xml:space="preserve">Subject: {{Company}}'s field team
Hi {{FirstName}},
When a company runs installations or mini-grids across many sites, maintenance usually lives in WhatsApp groups and spreadsheets. Then a client, lender or funder asks for proof of O&amp;M and someone spends a week pulling it together.
We build custom field-operations software for energy companies: jobs sent to technicians' phones, GPS-verified site check-ins, time-stamped photo inspections, and a live view of every asset.
I set up a short demo with {{Company}}'s name on it. It shows a technician reporting an inverter fault and the ops team dispatching a fix: {{DemoLink}}
Would a 20-minute call to see if it fits how your team works be useful?
Perfection Loveday
Opensaucery</t>
  </si>
  <si>
    <t xml:space="preserve">Follow-up 1 (day 3–4)</t>
  </si>
  <si>
    <t xml:space="preserve">Subject: Re: {{Company}}'s field team
Hi {{FirstName}}, one detail that tends to matter to operators: every site visit is logged with GPS and photos taken in the app, so you can show exactly when each asset was last serviced, and what was found, without chasing anyone.
The demo is here if you'd like a look: {{DemoLink}}
Perfection</t>
  </si>
  <si>
    <t xml:space="preserve">Follow-up 2 (day 8–10)</t>
  </si>
  <si>
    <t xml:space="preserve">Subject: Close the loop?
Hi {{FirstName}}, I'll stop here so I'm not cluttering your inbox. If tracking maintenance across your sites becomes a priority later, just reply to this email and I'll send over a version built around your actual sites and equipment.
Perfection</t>
  </si>
  <si>
    <t xml:space="preserve">Subject: Maintenance across {{Company}}'s buildings
Hi {{FirstName}},
FM teams running chillers, lifts, generators and PPM schedules across many buildings often juggle job cards, calls and spreadsheets. Then a client asks for proof that a visit happened.
We build custom maintenance and field-operations software: work orders sent to engineers' phones, GPS-verified check-ins, photo-stamped checklists, planned maintenance schedules and a live dashboard per building.
I set up a short demo with {{Company}}'s name on it. It shows a chiller trip being reported and an engineer dispatched in under a minute: {{DemoLink}}
Would a 20-minute call be worth it to see if it fits how you work?
Perfection Loveday
Opensaucery</t>
  </si>
  <si>
    <t xml:space="preserve">Subject: Re: Maintenance across {{Company}}'s buildings
Hi {{FirstName}}, one thing FM clients tend to value: every visit comes with GPS proof and photos, and the client report writes itself at month-end. No more rebuilding it from job cards.
Demo: {{DemoLink}}
Perfection</t>
  </si>
  <si>
    <t xml:space="preserve">Subject: Close the loop?
Hi {{FirstName}}, I'll leave it here. If digitising maintenance across your portfolio comes up later, reply and I'll put together a version using your buildings and equipment.
Perfection</t>
  </si>
  <si>
    <t xml:space="preserve">How this list was built</t>
  </si>
  <si>
    <t xml:space="preserve">• Companies found by web research (industry lists, association and funder programme lists like DARES/IMAS/AMDA, and company websites) on 22 Sept 2026.</t>
  </si>
  <si>
    <t xml:space="preserve">• Every email and phone was read from the company's own website or a public listing. Nothing was guessed or generated. The source is in the 'Email source' column.</t>
  </si>
  <si>
    <t xml:space="preserve">• Apify was not used: the account did not have enough credit this billing cycle.</t>
  </si>
  <si>
    <t xml:space="preserve">Before you send</t>
  </si>
  <si>
    <t xml:space="preserve">• Emails were NOT verified with a mail-server check. Run the list through a verifier (e.g. NeverBounce, ZeroBounce, or Apify email verification once topped up) to avoid bounces hurting your domain.</t>
  </si>
  <si>
    <t xml:space="preserve">• Most addresses are company inboxes (info@, sales@). Where you can, find the operations or maintenance lead on LinkedIn and address them by name.</t>
  </si>
  <si>
    <t xml:space="preserve">• Send from a secondary domain (e.g. opensaucery-mail.com) warmed up for 2–3 weeks, 20–30 emails/day to start.</t>
  </si>
  <si>
    <t xml:space="preserve">• Include who you are, a real postal address and a one-line opt-out. Honour opt-outs. Nigeria (NDPA), Kenya (Data Protection Act), South Africa (POPIA) and Ghana all have data-protection rules on marketing; B2B cold email to company inboxes is generally low-risk if you stay honest and let people opt out. This is not legal advice.</t>
  </si>
  <si>
    <t xml:space="preserve">Demo links</t>
  </si>
  <si>
    <t xml:space="preserve">• The 'Demo link path' column opens the FieldOps demo pre-branded with the company's name. Deploy the dashboard, then prefix each path with your URL, e.g. https://demo.opensaucery.africa/demo?industry=solar&amp;client=Havenhill%20Synergy.</t>
  </si>
</sst>
</file>

<file path=xl/styles.xml><?xml version="1.0" encoding="utf-8"?>
<styleSheet xmlns="http://schemas.openxmlformats.org/spreadsheetml/2006/main">
  <numFmts count="2">
    <numFmt numFmtId="164" formatCode="General"/>
    <numFmt numFmtId="165" formatCode="yyyy\-mm\-dd"/>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u val="single"/>
      <sz val="10"/>
      <color rgb="FF1D4ED8"/>
      <name val="Arial"/>
      <family val="0"/>
      <charset val="1"/>
    </font>
    <font>
      <b val="true"/>
      <sz val="14"/>
      <name val="Arial"/>
      <family val="0"/>
      <charset val="1"/>
    </font>
    <font>
      <i val="true"/>
      <sz val="9"/>
      <color rgb="FF6B7280"/>
      <name val="Arial"/>
      <family val="0"/>
      <charset val="1"/>
    </font>
    <font>
      <b val="true"/>
      <sz val="11"/>
      <name val="Arial"/>
      <family val="0"/>
      <charset val="1"/>
    </font>
    <font>
      <b val="true"/>
      <sz val="12"/>
      <name val="Arial"/>
      <family val="0"/>
      <charset val="1"/>
    </font>
  </fonts>
  <fills count="6">
    <fill>
      <patternFill patternType="none"/>
    </fill>
    <fill>
      <patternFill patternType="gray125"/>
    </fill>
    <fill>
      <patternFill patternType="solid">
        <fgColor rgb="FF1F2937"/>
        <bgColor rgb="FF333300"/>
      </patternFill>
    </fill>
    <fill>
      <patternFill patternType="solid">
        <fgColor rgb="FFDCFCE7"/>
        <bgColor rgb="FFF3F4F6"/>
      </patternFill>
    </fill>
    <fill>
      <patternFill patternType="solid">
        <fgColor rgb="FFFEF9C3"/>
        <bgColor rgb="FFFFFF99"/>
      </patternFill>
    </fill>
    <fill>
      <patternFill patternType="solid">
        <fgColor rgb="FFF3F4F6"/>
        <bgColor rgb="FFFFFFFF"/>
      </patternFill>
    </fill>
  </fills>
  <borders count="2">
    <border diagonalUp="false" diagonalDown="false">
      <left/>
      <right/>
      <top/>
      <bottom/>
      <diagonal/>
    </border>
    <border diagonalUp="false" diagonalDown="false">
      <left/>
      <right/>
      <top/>
      <bottom style="thin">
        <color rgb="FFE5E7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2937"/>
          <bgColor rgb="FF000000"/>
        </patternFill>
      </fill>
    </dxf>
    <dxf>
      <fill>
        <patternFill patternType="solid">
          <fgColor rgb="FFDCFCE7"/>
          <bgColor rgb="FF000000"/>
        </patternFill>
      </fill>
    </dxf>
    <dxf>
      <fill>
        <patternFill patternType="solid">
          <fgColor rgb="FFF3F4F6"/>
          <bgColor rgb="FF000000"/>
        </patternFill>
      </fill>
    </dxf>
    <dxf>
      <fill>
        <patternFill patternType="solid">
          <fgColor rgb="FFFEF9C3"/>
          <bgColor rgb="FF000000"/>
        </patternFill>
      </fill>
    </dxf>
    <dxf>
      <fill>
        <patternFill patternType="solid">
          <fgColor rgb="FFFFFFFF"/>
          <bgColor rgb="FF000000"/>
        </patternFill>
      </fill>
    </dxf>
    <dxf>
      <fill>
        <patternFill patternType="solid">
          <bgColor rgb="FF000000"/>
        </patternFill>
      </fill>
    </dxf>
    <dxf>
      <fill>
        <patternFill patternType="solid">
          <fgColor rgb="FF1D4ED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9C3"/>
      <rgbColor rgb="FFDCFCE7"/>
      <rgbColor rgb="FF660066"/>
      <rgbColor rgb="FFFF8080"/>
      <rgbColor rgb="FF1D4ED8"/>
      <rgbColor rgb="FFCCCCFF"/>
      <rgbColor rgb="FF000080"/>
      <rgbColor rgb="FFFF00FF"/>
      <rgbColor rgb="FFFFFF00"/>
      <rgbColor rgb="FF00FFFF"/>
      <rgbColor rgb="FF800080"/>
      <rgbColor rgb="FF800000"/>
      <rgbColor rgb="FF008080"/>
      <rgbColor rgb="FF0000FF"/>
      <rgbColor rgb="FF00CCFF"/>
      <rgbColor rgb="FFF3F4F6"/>
      <rgbColor rgb="FFE5E7EB"/>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info@dutumgroup.com" TargetMode="External"/><Relationship Id="rId2" Type="http://schemas.openxmlformats.org/officeDocument/2006/relationships/hyperlink" Target="https://dutumgroup.com/" TargetMode="External"/><Relationship Id="rId3" Type="http://schemas.openxmlformats.org/officeDocument/2006/relationships/hyperlink" Target="mailto:elektrintlagos@elektrint.com" TargetMode="External"/><Relationship Id="rId4" Type="http://schemas.openxmlformats.org/officeDocument/2006/relationships/hyperlink" Target="https://www.elektrint.com/" TargetMode="External"/><Relationship Id="rId5" Type="http://schemas.openxmlformats.org/officeDocument/2006/relationships/hyperlink" Target="https://www.linkedin.com/company/elektrint-nigeria-ltd./" TargetMode="External"/><Relationship Id="rId6" Type="http://schemas.openxmlformats.org/officeDocument/2006/relationships/hyperlink" Target="mailto:bd@globalpfi.com" TargetMode="External"/><Relationship Id="rId7" Type="http://schemas.openxmlformats.org/officeDocument/2006/relationships/hyperlink" Target="https://gpfi.ng/" TargetMode="External"/><Relationship Id="rId8" Type="http://schemas.openxmlformats.org/officeDocument/2006/relationships/hyperlink" Target="https://www.linkedin.com/company/gpfinigeria" TargetMode="External"/><Relationship Id="rId9" Type="http://schemas.openxmlformats.org/officeDocument/2006/relationships/hyperlink" Target="mailto:info@jidetaiwoandco.com" TargetMode="External"/><Relationship Id="rId10" Type="http://schemas.openxmlformats.org/officeDocument/2006/relationships/hyperlink" Target="https://jidetaiwoandco.com/" TargetMode="External"/><Relationship Id="rId11" Type="http://schemas.openxmlformats.org/officeDocument/2006/relationships/hyperlink" Target="mailto:kleenol@yahoo.co.uk" TargetMode="External"/><Relationship Id="rId12" Type="http://schemas.openxmlformats.org/officeDocument/2006/relationships/hyperlink" Target="https://www.kleenolng.com/" TargetMode="External"/><Relationship Id="rId13" Type="http://schemas.openxmlformats.org/officeDocument/2006/relationships/hyperlink" Target="https://www.linkedin.com/company/kleenol-nigeria-professional-cleaning-services-company/" TargetMode="External"/><Relationship Id="rId14" Type="http://schemas.openxmlformats.org/officeDocument/2006/relationships/hyperlink" Target="mailto:kresta@krestalaurel.com" TargetMode="External"/><Relationship Id="rId15" Type="http://schemas.openxmlformats.org/officeDocument/2006/relationships/hyperlink" Target="https://krestalaurel.com/" TargetMode="External"/><Relationship Id="rId16" Type="http://schemas.openxmlformats.org/officeDocument/2006/relationships/hyperlink" Target="https://www.linkedin.com/company/kresta-laurel-limited/" TargetMode="External"/><Relationship Id="rId17" Type="http://schemas.openxmlformats.org/officeDocument/2006/relationships/hyperlink" Target="mailto:info@liftelevator.com.ng" TargetMode="External"/><Relationship Id="rId18" Type="http://schemas.openxmlformats.org/officeDocument/2006/relationships/hyperlink" Target="https://www.liftelevator.com.ng/" TargetMode="External"/><Relationship Id="rId19" Type="http://schemas.openxmlformats.org/officeDocument/2006/relationships/hyperlink" Target="mailto:hello@orakl-solutions.com" TargetMode="External"/><Relationship Id="rId20" Type="http://schemas.openxmlformats.org/officeDocument/2006/relationships/hyperlink" Target="https://orakl-solutions.com/" TargetMode="External"/><Relationship Id="rId21" Type="http://schemas.openxmlformats.org/officeDocument/2006/relationships/hyperlink" Target="https://www.linkedin.com/company/orakl-solutions/" TargetMode="External"/><Relationship Id="rId22" Type="http://schemas.openxmlformats.org/officeDocument/2006/relationships/hyperlink" Target="mailto:info@sarakeys.com.ng" TargetMode="External"/><Relationship Id="rId23" Type="http://schemas.openxmlformats.org/officeDocument/2006/relationships/hyperlink" Target="http://www.sarakeys.com.ng/" TargetMode="External"/><Relationship Id="rId24" Type="http://schemas.openxmlformats.org/officeDocument/2006/relationships/hyperlink" Target="mailto:info@solidrockfacilitymanagers.com" TargetMode="External"/><Relationship Id="rId25" Type="http://schemas.openxmlformats.org/officeDocument/2006/relationships/hyperlink" Target="http://solidrockfacilitymanagers.com/" TargetMode="External"/><Relationship Id="rId26" Type="http://schemas.openxmlformats.org/officeDocument/2006/relationships/hyperlink" Target="mailto:info@tecnicoolnig.com" TargetMode="External"/><Relationship Id="rId27" Type="http://schemas.openxmlformats.org/officeDocument/2006/relationships/hyperlink" Target="https://tecnicoolnig.com/" TargetMode="External"/><Relationship Id="rId28" Type="http://schemas.openxmlformats.org/officeDocument/2006/relationships/hyperlink" Target="mailto:info@ashipaelectric.com" TargetMode="External"/><Relationship Id="rId29" Type="http://schemas.openxmlformats.org/officeDocument/2006/relationships/hyperlink" Target="https://www.ashipaelectric.com/" TargetMode="External"/><Relationship Id="rId30" Type="http://schemas.openxmlformats.org/officeDocument/2006/relationships/hyperlink" Target="https://www.linkedin.com/company/ashipaelectric/" TargetMode="External"/><Relationship Id="rId31" Type="http://schemas.openxmlformats.org/officeDocument/2006/relationships/hyperlink" Target="mailto:info@dbenergy.com.ng" TargetMode="External"/><Relationship Id="rId32" Type="http://schemas.openxmlformats.org/officeDocument/2006/relationships/hyperlink" Target="https://www.dbenergy.ng/" TargetMode="External"/><Relationship Id="rId33" Type="http://schemas.openxmlformats.org/officeDocument/2006/relationships/hyperlink" Target="https://linkedin.com/company/dbenergy" TargetMode="External"/><Relationship Id="rId34" Type="http://schemas.openxmlformats.org/officeDocument/2006/relationships/hyperlink" Target="mailto:support@darwaycoast.com" TargetMode="External"/><Relationship Id="rId35" Type="http://schemas.openxmlformats.org/officeDocument/2006/relationships/hyperlink" Target="https://darwaycoast.com/" TargetMode="External"/><Relationship Id="rId36" Type="http://schemas.openxmlformats.org/officeDocument/2006/relationships/hyperlink" Target="https://www.linkedin.com/company/darway-coast-ltd" TargetMode="External"/><Relationship Id="rId37" Type="http://schemas.openxmlformats.org/officeDocument/2006/relationships/hyperlink" Target="mailto:info@emone.energy" TargetMode="External"/><Relationship Id="rId38" Type="http://schemas.openxmlformats.org/officeDocument/2006/relationships/hyperlink" Target="https://www.emone.energy/" TargetMode="External"/><Relationship Id="rId39" Type="http://schemas.openxmlformats.org/officeDocument/2006/relationships/hyperlink" Target="https://ca.linkedin.com/company/em-one-energy" TargetMode="External"/><Relationship Id="rId40" Type="http://schemas.openxmlformats.org/officeDocument/2006/relationships/hyperlink" Target="mailto:info@etinpower.com" TargetMode="External"/><Relationship Id="rId41" Type="http://schemas.openxmlformats.org/officeDocument/2006/relationships/hyperlink" Target="https://www.etinpower.com/" TargetMode="External"/><Relationship Id="rId42" Type="http://schemas.openxmlformats.org/officeDocument/2006/relationships/hyperlink" Target="https://linkedin.com/company/etinpowerlimited" TargetMode="External"/><Relationship Id="rId43" Type="http://schemas.openxmlformats.org/officeDocument/2006/relationships/hyperlink" Target="mailto:contact@greenagetech.com" TargetMode="External"/><Relationship Id="rId44" Type="http://schemas.openxmlformats.org/officeDocument/2006/relationships/hyperlink" Target="https://greenagetech.com/" TargetMode="External"/><Relationship Id="rId45" Type="http://schemas.openxmlformats.org/officeDocument/2006/relationships/hyperlink" Target="https://ng.linkedin.com/company/greenage-technologies" TargetMode="External"/><Relationship Id="rId46" Type="http://schemas.openxmlformats.org/officeDocument/2006/relationships/hyperlink" Target="mailto:info@havenhillsynergy.com" TargetMode="External"/><Relationship Id="rId47" Type="http://schemas.openxmlformats.org/officeDocument/2006/relationships/hyperlink" Target="https://havenhillsynergy.com/" TargetMode="External"/><Relationship Id="rId48" Type="http://schemas.openxmlformats.org/officeDocument/2006/relationships/hyperlink" Target="https://www.linkedin.com/company/havenhill-synergy/" TargetMode="External"/><Relationship Id="rId49" Type="http://schemas.openxmlformats.org/officeDocument/2006/relationships/hyperlink" Target="mailto:info@indicelsolar.com" TargetMode="External"/><Relationship Id="rId50" Type="http://schemas.openxmlformats.org/officeDocument/2006/relationships/hyperlink" Target="https://indicelsolar.com/" TargetMode="External"/><Relationship Id="rId51" Type="http://schemas.openxmlformats.org/officeDocument/2006/relationships/hyperlink" Target="mailto:info@pradopower.org" TargetMode="External"/><Relationship Id="rId52" Type="http://schemas.openxmlformats.org/officeDocument/2006/relationships/hyperlink" Target="https://www.pradopower.org/" TargetMode="External"/><Relationship Id="rId53" Type="http://schemas.openxmlformats.org/officeDocument/2006/relationships/hyperlink" Target="https://www.linkedin.com/company/11107148" TargetMode="External"/><Relationship Id="rId54" Type="http://schemas.openxmlformats.org/officeDocument/2006/relationships/hyperlink" Target="mailto:info@prividaenergy.com" TargetMode="External"/><Relationship Id="rId55" Type="http://schemas.openxmlformats.org/officeDocument/2006/relationships/hyperlink" Target="https://www.prividaenergy.com/" TargetMode="External"/><Relationship Id="rId56" Type="http://schemas.openxmlformats.org/officeDocument/2006/relationships/hyperlink" Target="https://www.linkedin.com/company/privida-energy" TargetMode="External"/><Relationship Id="rId57" Type="http://schemas.openxmlformats.org/officeDocument/2006/relationships/hyperlink" Target="mailto:info@protergiaenergy.com" TargetMode="External"/><Relationship Id="rId58" Type="http://schemas.openxmlformats.org/officeDocument/2006/relationships/hyperlink" Target="https://protergiaenergy.com/" TargetMode="External"/><Relationship Id="rId59" Type="http://schemas.openxmlformats.org/officeDocument/2006/relationships/hyperlink" Target="https://www.linkedin.com/company/protergiaenergy/" TargetMode="External"/><Relationship Id="rId60" Type="http://schemas.openxmlformats.org/officeDocument/2006/relationships/hyperlink" Target="mailto:info@rubitecsolar.com" TargetMode="External"/><Relationship Id="rId61" Type="http://schemas.openxmlformats.org/officeDocument/2006/relationships/hyperlink" Target="https://rubitecsolar.com/" TargetMode="External"/><Relationship Id="rId62" Type="http://schemas.openxmlformats.org/officeDocument/2006/relationships/hyperlink" Target="mailto:admin@solarlify.com.ng" TargetMode="External"/><Relationship Id="rId63" Type="http://schemas.openxmlformats.org/officeDocument/2006/relationships/hyperlink" Target="https://solarlify.com.ng/" TargetMode="External"/><Relationship Id="rId64" Type="http://schemas.openxmlformats.org/officeDocument/2006/relationships/hyperlink" Target="mailto:sosai@sosairen.org" TargetMode="External"/><Relationship Id="rId65" Type="http://schemas.openxmlformats.org/officeDocument/2006/relationships/hyperlink" Target="https://sosairen.org/" TargetMode="External"/><Relationship Id="rId66" Type="http://schemas.openxmlformats.org/officeDocument/2006/relationships/hyperlink" Target="https://www.linkedin.com/company/sosai-renewable-energies-company/" TargetMode="External"/><Relationship Id="rId67" Type="http://schemas.openxmlformats.org/officeDocument/2006/relationships/hyperlink" Target="mailto:info@sunhive.com" TargetMode="External"/><Relationship Id="rId68" Type="http://schemas.openxmlformats.org/officeDocument/2006/relationships/hyperlink" Target="https://sunhive.com/" TargetMode="External"/><Relationship Id="rId69" Type="http://schemas.openxmlformats.org/officeDocument/2006/relationships/hyperlink" Target="https://www.linkedin.com/company/sunhive-ltd/" TargetMode="External"/><Relationship Id="rId70" Type="http://schemas.openxmlformats.org/officeDocument/2006/relationships/hyperlink" Target="mailto:support@cetechbpa.com" TargetMode="External"/><Relationship Id="rId71" Type="http://schemas.openxmlformats.org/officeDocument/2006/relationships/hyperlink" Target="https://cetechbpa.com/" TargetMode="External"/><Relationship Id="rId72" Type="http://schemas.openxmlformats.org/officeDocument/2006/relationships/hyperlink" Target="mailto:info@dm.co.tz" TargetMode="External"/><Relationship Id="rId73" Type="http://schemas.openxmlformats.org/officeDocument/2006/relationships/hyperlink" Target="https://dm.co.tz/" TargetMode="External"/><Relationship Id="rId74" Type="http://schemas.openxmlformats.org/officeDocument/2006/relationships/hyperlink" Target="https://www.linkedin.com/company/dmtl-africa" TargetMode="External"/><Relationship Id="rId75" Type="http://schemas.openxmlformats.org/officeDocument/2006/relationships/hyperlink" Target="mailto:sales@elevatorcompany.co.za" TargetMode="External"/><Relationship Id="rId76" Type="http://schemas.openxmlformats.org/officeDocument/2006/relationships/hyperlink" Target="https://elevatorcompany.co.za/" TargetMode="External"/><Relationship Id="rId77" Type="http://schemas.openxmlformats.org/officeDocument/2006/relationships/hyperlink" Target="https://www.linkedin.com/company/elevator-maintenance-company/" TargetMode="External"/><Relationship Id="rId78" Type="http://schemas.openxmlformats.org/officeDocument/2006/relationships/hyperlink" Target="mailto:info@fm-solutions.co.za" TargetMode="External"/><Relationship Id="rId79" Type="http://schemas.openxmlformats.org/officeDocument/2006/relationships/hyperlink" Target="https://www.fm-solutions.co.za/" TargetMode="External"/><Relationship Id="rId80" Type="http://schemas.openxmlformats.org/officeDocument/2006/relationships/hyperlink" Target="https://www.linkedin.com/company/afroteq-fm-solutions" TargetMode="External"/><Relationship Id="rId81" Type="http://schemas.openxmlformats.org/officeDocument/2006/relationships/hyperlink" Target="mailto:sales@gammaheightseng.com" TargetMode="External"/><Relationship Id="rId82" Type="http://schemas.openxmlformats.org/officeDocument/2006/relationships/hyperlink" Target="https://gammaheightseng.com/" TargetMode="External"/><Relationship Id="rId83" Type="http://schemas.openxmlformats.org/officeDocument/2006/relationships/hyperlink" Target="mailto:info@leafyspace.co.za" TargetMode="External"/><Relationship Id="rId84" Type="http://schemas.openxmlformats.org/officeDocument/2006/relationships/hyperlink" Target="https://leafyspace.co.za/" TargetMode="External"/><Relationship Id="rId85" Type="http://schemas.openxmlformats.org/officeDocument/2006/relationships/hyperlink" Target="https://www.linkedin.com/company/leafyspace/" TargetMode="External"/><Relationship Id="rId86" Type="http://schemas.openxmlformats.org/officeDocument/2006/relationships/hyperlink" Target="mailto:mcoolelectroengineeringlimited@gmail.com" TargetMode="External"/><Relationship Id="rId87" Type="http://schemas.openxmlformats.org/officeDocument/2006/relationships/hyperlink" Target="https://mcool.co.ke/" TargetMode="External"/><Relationship Id="rId88" Type="http://schemas.openxmlformats.org/officeDocument/2006/relationships/hyperlink" Target="mailto:info@musandahfm.com" TargetMode="External"/><Relationship Id="rId89" Type="http://schemas.openxmlformats.org/officeDocument/2006/relationships/hyperlink" Target="https://musandahfm.com/" TargetMode="External"/><Relationship Id="rId90" Type="http://schemas.openxmlformats.org/officeDocument/2006/relationships/hyperlink" Target="https://www.linkedin.com/company/musandahassetsandfm/" TargetMode="External"/><Relationship Id="rId91" Type="http://schemas.openxmlformats.org/officeDocument/2006/relationships/hyperlink" Target="mailto:info@pkbaengineeringco.com" TargetMode="External"/><Relationship Id="rId92" Type="http://schemas.openxmlformats.org/officeDocument/2006/relationships/hyperlink" Target="https://pkbaengineeringco.com/" TargetMode="External"/><Relationship Id="rId93" Type="http://schemas.openxmlformats.org/officeDocument/2006/relationships/hyperlink" Target="mailto:info@relislifts.co.za" TargetMode="External"/><Relationship Id="rId94" Type="http://schemas.openxmlformats.org/officeDocument/2006/relationships/hyperlink" Target="https://relislifts.co.za/" TargetMode="External"/><Relationship Id="rId95" Type="http://schemas.openxmlformats.org/officeDocument/2006/relationships/hyperlink" Target="mailto:sales@riseelevators.co.za" TargetMode="External"/><Relationship Id="rId96" Type="http://schemas.openxmlformats.org/officeDocument/2006/relationships/hyperlink" Target="https://www.riseelevators.co.za/" TargetMode="External"/><Relationship Id="rId97" Type="http://schemas.openxmlformats.org/officeDocument/2006/relationships/hyperlink" Target="mailto:fs@spxsa.com" TargetMode="External"/><Relationship Id="rId98" Type="http://schemas.openxmlformats.org/officeDocument/2006/relationships/hyperlink" Target="https://spxsa.com/" TargetMode="External"/><Relationship Id="rId99" Type="http://schemas.openxmlformats.org/officeDocument/2006/relationships/hyperlink" Target="mailto:info@arcpower.co" TargetMode="External"/><Relationship Id="rId100" Type="http://schemas.openxmlformats.org/officeDocument/2006/relationships/hyperlink" Target="https://arcpower.co/" TargetMode="External"/><Relationship Id="rId101" Type="http://schemas.openxmlformats.org/officeDocument/2006/relationships/hyperlink" Target="https://www.linkedin.com/company/arc-power-rw/" TargetMode="External"/><Relationship Id="rId102" Type="http://schemas.openxmlformats.org/officeDocument/2006/relationships/hyperlink" Target="mailto:info@ariyafinergy.com" TargetMode="External"/><Relationship Id="rId103" Type="http://schemas.openxmlformats.org/officeDocument/2006/relationships/hyperlink" Target="https://ariyafinergy.com/" TargetMode="External"/><Relationship Id="rId104" Type="http://schemas.openxmlformats.org/officeDocument/2006/relationships/hyperlink" Target="https://www.linkedin.com/company/ariya-finergy" TargetMode="External"/><Relationship Id="rId105" Type="http://schemas.openxmlformats.org/officeDocument/2006/relationships/hyperlink" Target="mailto:info@energypartners.co.za" TargetMode="External"/><Relationship Id="rId106" Type="http://schemas.openxmlformats.org/officeDocument/2006/relationships/hyperlink" Target="https://energypartners.co.za/" TargetMode="External"/><Relationship Id="rId107" Type="http://schemas.openxmlformats.org/officeDocument/2006/relationships/hyperlink" Target="https://za.linkedin.com/company/energy-partners-" TargetMode="External"/><Relationship Id="rId108" Type="http://schemas.openxmlformats.org/officeDocument/2006/relationships/hyperlink" Target="mailto:info@ensol.co.tz" TargetMode="External"/><Relationship Id="rId109" Type="http://schemas.openxmlformats.org/officeDocument/2006/relationships/hyperlink" Target="https://ensol.co.tz/" TargetMode="External"/><Relationship Id="rId110" Type="http://schemas.openxmlformats.org/officeDocument/2006/relationships/hyperlink" Target="https://www.linkedin.com/company/ensol-tanzania-limited" TargetMode="External"/><Relationship Id="rId111" Type="http://schemas.openxmlformats.org/officeDocument/2006/relationships/hyperlink" Target="mailto:mail@equator.energy" TargetMode="External"/><Relationship Id="rId112" Type="http://schemas.openxmlformats.org/officeDocument/2006/relationships/hyperlink" Target="https://equator.energy/" TargetMode="External"/><Relationship Id="rId113" Type="http://schemas.openxmlformats.org/officeDocument/2006/relationships/hyperlink" Target="mailto:sales@forestenergy.co.za" TargetMode="External"/><Relationship Id="rId114" Type="http://schemas.openxmlformats.org/officeDocument/2006/relationships/hyperlink" Target="https://www.forestenergy.co.za/" TargetMode="External"/><Relationship Id="rId115" Type="http://schemas.openxmlformats.org/officeDocument/2006/relationships/hyperlink" Target="https://www.linkedin.com/company/forestenergysolutions/" TargetMode="External"/><Relationship Id="rId116" Type="http://schemas.openxmlformats.org/officeDocument/2006/relationships/hyperlink" Target="mailto:info@jumeme.com" TargetMode="External"/><Relationship Id="rId117" Type="http://schemas.openxmlformats.org/officeDocument/2006/relationships/hyperlink" Target="https://www.jumeme.com/" TargetMode="External"/><Relationship Id="rId118" Type="http://schemas.openxmlformats.org/officeDocument/2006/relationships/hyperlink" Target="mailto:sales@muhanyasolar.com" TargetMode="External"/><Relationship Id="rId119" Type="http://schemas.openxmlformats.org/officeDocument/2006/relationships/hyperlink" Target="https://www.muhanyasolar.com/" TargetMode="External"/><Relationship Id="rId120" Type="http://schemas.openxmlformats.org/officeDocument/2006/relationships/hyperlink" Target="mailto:info@newsouthernenergy.com" TargetMode="External"/><Relationship Id="rId121" Type="http://schemas.openxmlformats.org/officeDocument/2006/relationships/hyperlink" Target="https://www.nse.africa/" TargetMode="External"/><Relationship Id="rId122" Type="http://schemas.openxmlformats.org/officeDocument/2006/relationships/hyperlink" Target="https://www.linkedin.com/company/new-southern-energy/" TargetMode="External"/><Relationship Id="rId123" Type="http://schemas.openxmlformats.org/officeDocument/2006/relationships/hyperlink" Target="mailto:info@powergen-re.com" TargetMode="External"/><Relationship Id="rId124" Type="http://schemas.openxmlformats.org/officeDocument/2006/relationships/hyperlink" Target="https://powergen-renewable-energy.com/" TargetMode="External"/><Relationship Id="rId125" Type="http://schemas.openxmlformats.org/officeDocument/2006/relationships/hyperlink" Target="mailto:info@powerhut.co.tz" TargetMode="External"/><Relationship Id="rId126" Type="http://schemas.openxmlformats.org/officeDocument/2006/relationships/hyperlink" Target="https://powerhut.co.tz/" TargetMode="External"/><Relationship Id="rId127" Type="http://schemas.openxmlformats.org/officeDocument/2006/relationships/hyperlink" Target="mailto:sales@safi-power.com" TargetMode="External"/><Relationship Id="rId128" Type="http://schemas.openxmlformats.org/officeDocument/2006/relationships/hyperlink" Target="https://safi-power.com/" TargetMode="External"/><Relationship Id="rId129" Type="http://schemas.openxmlformats.org/officeDocument/2006/relationships/hyperlink" Target="https://www.linkedin.com/company/safi-power/" TargetMode="External"/><Relationship Id="rId130" Type="http://schemas.openxmlformats.org/officeDocument/2006/relationships/hyperlink" Target="mailto:info@solar-om.co.za" TargetMode="External"/><Relationship Id="rId131" Type="http://schemas.openxmlformats.org/officeDocument/2006/relationships/hyperlink" Target="https://www.solar-om.co.za/" TargetMode="External"/><Relationship Id="rId132" Type="http://schemas.openxmlformats.org/officeDocument/2006/relationships/hyperlink" Target="mailto:info@solareff.co.za" TargetMode="External"/><Relationship Id="rId133" Type="http://schemas.openxmlformats.org/officeDocument/2006/relationships/hyperlink" Target="https://www.solareff.co.za/" TargetMode="External"/><Relationship Id="rId134" Type="http://schemas.openxmlformats.org/officeDocument/2006/relationships/hyperlink" Target="mailto:info@wilkinsengineering.com" TargetMode="External"/><Relationship Id="rId135" Type="http://schemas.openxmlformats.org/officeDocument/2006/relationships/hyperlink" Target="https://wilkinsengineering.com/" TargetMode="External"/><Relationship Id="rId136" Type="http://schemas.openxmlformats.org/officeDocument/2006/relationships/hyperlink" Target="https://www.linkedin.com/company/wilkins-engineering-limited" TargetMode="External"/><Relationship Id="rId137" Type="http://schemas.openxmlformats.org/officeDocument/2006/relationships/hyperlink" Target="https://cresttechnicalservices.com/" TargetMode="External"/><Relationship Id="rId138" Type="http://schemas.openxmlformats.org/officeDocument/2006/relationships/hyperlink" Target="https://www.jamescubittfacilities.com/" TargetMode="External"/><Relationship Id="rId139" Type="http://schemas.openxmlformats.org/officeDocument/2006/relationships/hyperlink" Target="https://ng.linkedin.com/company/james-cubitt-facilities-managers" TargetMode="External"/><Relationship Id="rId140" Type="http://schemas.openxmlformats.org/officeDocument/2006/relationships/hyperlink" Target="https://acoblighting.com/" TargetMode="External"/><Relationship Id="rId141" Type="http://schemas.openxmlformats.org/officeDocument/2006/relationships/hyperlink" Target="https://ashdamsolar.com/" TargetMode="External"/><Relationship Id="rId142" Type="http://schemas.openxmlformats.org/officeDocument/2006/relationships/hyperlink" Target="https://ng.linkedin.com/company/ashdamsolar" TargetMode="External"/><Relationship Id="rId143" Type="http://schemas.openxmlformats.org/officeDocument/2006/relationships/hyperlink" Target="https://www.ceesolar.com/" TargetMode="External"/><Relationship Id="rId144" Type="http://schemas.openxmlformats.org/officeDocument/2006/relationships/hyperlink" Target="https://gve-group.com/" TargetMode="External"/><Relationship Id="rId145" Type="http://schemas.openxmlformats.org/officeDocument/2006/relationships/hyperlink" Target="https://meperictrictech.com/" TargetMode="External"/><Relationship Id="rId146" Type="http://schemas.openxmlformats.org/officeDocument/2006/relationships/hyperlink" Target="https://standardmicrogrid.com/" TargetMode="External"/><Relationship Id="rId147" Type="http://schemas.openxmlformats.org/officeDocument/2006/relationships/hyperlink" Target="mailto:auduimonikheandco@gmail.com" TargetMode="External"/><Relationship Id="rId148" Type="http://schemas.openxmlformats.org/officeDocument/2006/relationships/hyperlink" Target="https://auduimonikheandco.com/" TargetMode="External"/><Relationship Id="rId149" Type="http://schemas.openxmlformats.org/officeDocument/2006/relationships/hyperlink" Target="mailto:info@betacoolltd.com" TargetMode="External"/><Relationship Id="rId150" Type="http://schemas.openxmlformats.org/officeDocument/2006/relationships/hyperlink" Target="https://betacoolltd.com/" TargetMode="External"/><Relationship Id="rId151" Type="http://schemas.openxmlformats.org/officeDocument/2006/relationships/hyperlink" Target="https://www.linkedin.com/company/betacoolltd" TargetMode="External"/><Relationship Id="rId152" Type="http://schemas.openxmlformats.org/officeDocument/2006/relationships/hyperlink" Target="mailto:info@bloompfm.com" TargetMode="External"/><Relationship Id="rId153" Type="http://schemas.openxmlformats.org/officeDocument/2006/relationships/hyperlink" Target="https://bloompfm.com/" TargetMode="External"/><Relationship Id="rId154" Type="http://schemas.openxmlformats.org/officeDocument/2006/relationships/hyperlink" Target="mailto:bpl@rtbriscoe.com" TargetMode="External"/><Relationship Id="rId155" Type="http://schemas.openxmlformats.org/officeDocument/2006/relationships/hyperlink" Target="https://briscoeproperties.com/" TargetMode="External"/><Relationship Id="rId156" Type="http://schemas.openxmlformats.org/officeDocument/2006/relationships/hyperlink" Target="https://ng.linkedin.com/company/briscoe-properties-limited" TargetMode="External"/><Relationship Id="rId157" Type="http://schemas.openxmlformats.org/officeDocument/2006/relationships/hyperlink" Target="mailto:info@chrelectmep.com" TargetMode="External"/><Relationship Id="rId158" Type="http://schemas.openxmlformats.org/officeDocument/2006/relationships/hyperlink" Target="https://chrelectmep.com/" TargetMode="External"/><Relationship Id="rId159" Type="http://schemas.openxmlformats.org/officeDocument/2006/relationships/hyperlink" Target="mailto:info@cxallng.com" TargetMode="External"/><Relationship Id="rId160" Type="http://schemas.openxmlformats.org/officeDocument/2006/relationships/hyperlink" Target="https://cxallng.com/" TargetMode="External"/><Relationship Id="rId161" Type="http://schemas.openxmlformats.org/officeDocument/2006/relationships/hyperlink" Target="mailto:info@ekomaintenance.com" TargetMode="External"/><Relationship Id="rId162" Type="http://schemas.openxmlformats.org/officeDocument/2006/relationships/hyperlink" Target="https://www.ekomaintenance.com/" TargetMode="External"/><Relationship Id="rId163" Type="http://schemas.openxmlformats.org/officeDocument/2006/relationships/hyperlink" Target="https://www.linkedin.com/company/eko-maintenance-limited/" TargetMode="External"/><Relationship Id="rId164" Type="http://schemas.openxmlformats.org/officeDocument/2006/relationships/hyperlink" Target="mailto:info@essentialfacilitymgt.com" TargetMode="External"/><Relationship Id="rId165" Type="http://schemas.openxmlformats.org/officeDocument/2006/relationships/hyperlink" Target="https://essentialfacilitymgt.com/" TargetMode="External"/><Relationship Id="rId166" Type="http://schemas.openxmlformats.org/officeDocument/2006/relationships/hyperlink" Target="mailto:info@greenfacilitiesltd.com" TargetMode="External"/><Relationship Id="rId167" Type="http://schemas.openxmlformats.org/officeDocument/2006/relationships/hyperlink" Target="https://greenfacilitiesltd.com/" TargetMode="External"/><Relationship Id="rId168" Type="http://schemas.openxmlformats.org/officeDocument/2006/relationships/hyperlink" Target="https://www.linkedin.com/company/greenfacltd/" TargetMode="External"/><Relationship Id="rId169" Type="http://schemas.openxmlformats.org/officeDocument/2006/relationships/hyperlink" Target="mailto:info@greenboxfacilities.com" TargetMode="External"/><Relationship Id="rId170" Type="http://schemas.openxmlformats.org/officeDocument/2006/relationships/hyperlink" Target="https://greenboxfacilities.com/" TargetMode="External"/><Relationship Id="rId171" Type="http://schemas.openxmlformats.org/officeDocument/2006/relationships/hyperlink" Target="mailto:info@ikonfacilities.com" TargetMode="External"/><Relationship Id="rId172" Type="http://schemas.openxmlformats.org/officeDocument/2006/relationships/hyperlink" Target="https://ikonfacilities.com/" TargetMode="External"/><Relationship Id="rId173" Type="http://schemas.openxmlformats.org/officeDocument/2006/relationships/hyperlink" Target="https://www.linkedin.com/company/ikon-facilities/" TargetMode="External"/><Relationship Id="rId174" Type="http://schemas.openxmlformats.org/officeDocument/2006/relationships/hyperlink" Target="mailto:info@marvelhomespm.com" TargetMode="External"/><Relationship Id="rId175" Type="http://schemas.openxmlformats.org/officeDocument/2006/relationships/hyperlink" Target="https://www.marvelhomespm.com/" TargetMode="External"/><Relationship Id="rId176" Type="http://schemas.openxmlformats.org/officeDocument/2006/relationships/hyperlink" Target="mailto:info@maxmigold.com" TargetMode="External"/><Relationship Id="rId177" Type="http://schemas.openxmlformats.org/officeDocument/2006/relationships/hyperlink" Target="https://maxmigold.com/" TargetMode="External"/><Relationship Id="rId178" Type="http://schemas.openxmlformats.org/officeDocument/2006/relationships/hyperlink" Target="mailto:info@mosaicmanagementltd.com" TargetMode="External"/><Relationship Id="rId179" Type="http://schemas.openxmlformats.org/officeDocument/2006/relationships/hyperlink" Target="https://mosaicmanagementltd.com/" TargetMode="External"/><Relationship Id="rId180" Type="http://schemas.openxmlformats.org/officeDocument/2006/relationships/hyperlink" Target="mailto:contact@oviswift.com" TargetMode="External"/><Relationship Id="rId181" Type="http://schemas.openxmlformats.org/officeDocument/2006/relationships/hyperlink" Target="https://oviswift.com/" TargetMode="External"/><Relationship Id="rId182" Type="http://schemas.openxmlformats.org/officeDocument/2006/relationships/hyperlink" Target="https://www.linkedin.com/company/oviswift-enigineering-consultancy-limited/" TargetMode="External"/><Relationship Id="rId183" Type="http://schemas.openxmlformats.org/officeDocument/2006/relationships/hyperlink" Target="mailto:primecooltech.ng@gmail.com" TargetMode="External"/><Relationship Id="rId184" Type="http://schemas.openxmlformats.org/officeDocument/2006/relationships/hyperlink" Target="https://primecooltech.ng/" TargetMode="External"/><Relationship Id="rId185" Type="http://schemas.openxmlformats.org/officeDocument/2006/relationships/hyperlink" Target="mailto:info@principalfml.com" TargetMode="External"/><Relationship Id="rId186" Type="http://schemas.openxmlformats.org/officeDocument/2006/relationships/hyperlink" Target="https://principalfml.com/" TargetMode="External"/><Relationship Id="rId187" Type="http://schemas.openxmlformats.org/officeDocument/2006/relationships/hyperlink" Target="https://www.linkedin.com/company/principal-fml" TargetMode="External"/><Relationship Id="rId188" Type="http://schemas.openxmlformats.org/officeDocument/2006/relationships/hyperlink" Target="mailto:info@provastltd.com" TargetMode="External"/><Relationship Id="rId189" Type="http://schemas.openxmlformats.org/officeDocument/2006/relationships/hyperlink" Target="https://provastltd.com/" TargetMode="External"/><Relationship Id="rId190" Type="http://schemas.openxmlformats.org/officeDocument/2006/relationships/hyperlink" Target="https://www.linkedin.com/company/provast-limited/" TargetMode="External"/><Relationship Id="rId191" Type="http://schemas.openxmlformats.org/officeDocument/2006/relationships/hyperlink" Target="mailto:info@prysmfacilities.com" TargetMode="External"/><Relationship Id="rId192" Type="http://schemas.openxmlformats.org/officeDocument/2006/relationships/hyperlink" Target="https://prysmfacilities.com/" TargetMode="External"/><Relationship Id="rId193" Type="http://schemas.openxmlformats.org/officeDocument/2006/relationships/hyperlink" Target="mailto:business.rpfacilities@gmail.com" TargetMode="External"/><Relationship Id="rId194" Type="http://schemas.openxmlformats.org/officeDocument/2006/relationships/hyperlink" Target="https://www.rpfacilities.com/" TargetMode="External"/><Relationship Id="rId195" Type="http://schemas.openxmlformats.org/officeDocument/2006/relationships/hyperlink" Target="https://www.linkedin.com/company/rp-facilities-management/" TargetMode="External"/><Relationship Id="rId196" Type="http://schemas.openxmlformats.org/officeDocument/2006/relationships/hyperlink" Target="mailto:info@aoc-group.net" TargetMode="External"/><Relationship Id="rId197" Type="http://schemas.openxmlformats.org/officeDocument/2006/relationships/hyperlink" Target="https://rhapsodyfm.com/" TargetMode="External"/><Relationship Id="rId198" Type="http://schemas.openxmlformats.org/officeDocument/2006/relationships/hyperlink" Target="https://www.linkedin.com/company/aoc-real-estate-group/" TargetMode="External"/><Relationship Id="rId199" Type="http://schemas.openxmlformats.org/officeDocument/2006/relationships/hyperlink" Target="mailto:helpdesk@sefacilities.com" TargetMode="External"/><Relationship Id="rId200" Type="http://schemas.openxmlformats.org/officeDocument/2006/relationships/hyperlink" Target="https://sefacilities.com/" TargetMode="External"/><Relationship Id="rId201" Type="http://schemas.openxmlformats.org/officeDocument/2006/relationships/hyperlink" Target="mailto:info@tfmlconsultant.com" TargetMode="External"/><Relationship Id="rId202" Type="http://schemas.openxmlformats.org/officeDocument/2006/relationships/hyperlink" Target="https://www.tfmlconsultant.com/" TargetMode="External"/><Relationship Id="rId203" Type="http://schemas.openxmlformats.org/officeDocument/2006/relationships/hyperlink" Target="https://ng.linkedin.com/company/tfml" TargetMode="External"/><Relationship Id="rId204" Type="http://schemas.openxmlformats.org/officeDocument/2006/relationships/hyperlink" Target="mailto:info@updcfm.com" TargetMode="External"/><Relationship Id="rId205" Type="http://schemas.openxmlformats.org/officeDocument/2006/relationships/hyperlink" Target="https://updcfm.com/" TargetMode="External"/><Relationship Id="rId206" Type="http://schemas.openxmlformats.org/officeDocument/2006/relationships/hyperlink" Target="https://www.linkedin.com/company/updc-facility-management-limited/" TargetMode="External"/><Relationship Id="rId207" Type="http://schemas.openxmlformats.org/officeDocument/2006/relationships/hyperlink" Target="mailto:info@alexoll.com" TargetMode="External"/><Relationship Id="rId208" Type="http://schemas.openxmlformats.org/officeDocument/2006/relationships/hyperlink" Target="https://alexoll.com/" TargetMode="External"/><Relationship Id="rId209" Type="http://schemas.openxmlformats.org/officeDocument/2006/relationships/hyperlink" Target="mailto:info@eauxwell.com" TargetMode="External"/><Relationship Id="rId210" Type="http://schemas.openxmlformats.org/officeDocument/2006/relationships/hyperlink" Target="https://eauxwell.com/" TargetMode="External"/><Relationship Id="rId211" Type="http://schemas.openxmlformats.org/officeDocument/2006/relationships/hyperlink" Target="mailto:customercare@gennextechnologies.com" TargetMode="External"/><Relationship Id="rId212" Type="http://schemas.openxmlformats.org/officeDocument/2006/relationships/hyperlink" Target="https://gennextechnologies.com/" TargetMode="External"/><Relationship Id="rId213" Type="http://schemas.openxmlformats.org/officeDocument/2006/relationships/hyperlink" Target="https://www.linkedin.com/company/gennextechnologies/" TargetMode="External"/><Relationship Id="rId214" Type="http://schemas.openxmlformats.org/officeDocument/2006/relationships/hyperlink" Target="mailto:Info@hakunasolar.com" TargetMode="External"/><Relationship Id="rId215" Type="http://schemas.openxmlformats.org/officeDocument/2006/relationships/hyperlink" Target="https://hakunasolar.com/" TargetMode="External"/><Relationship Id="rId216" Type="http://schemas.openxmlformats.org/officeDocument/2006/relationships/hyperlink" Target="mailto:info@solarforcenigeria.com" TargetMode="External"/><Relationship Id="rId217" Type="http://schemas.openxmlformats.org/officeDocument/2006/relationships/hyperlink" Target="https://www.solarforcenigeria.com/" TargetMode="External"/><Relationship Id="rId218" Type="http://schemas.openxmlformats.org/officeDocument/2006/relationships/hyperlink" Target="https://ng.linkedin.com/company/solarforce-nigeria-ltd" TargetMode="External"/><Relationship Id="rId219" Type="http://schemas.openxmlformats.org/officeDocument/2006/relationships/hyperlink" Target="mailto:info@bestcareservices.co.ke" TargetMode="External"/><Relationship Id="rId220" Type="http://schemas.openxmlformats.org/officeDocument/2006/relationships/hyperlink" Target="https://bestcareservices.co.ke/" TargetMode="External"/><Relationship Id="rId221" Type="http://schemas.openxmlformats.org/officeDocument/2006/relationships/hyperlink" Target="mailto:ccfm@chezo.africa" TargetMode="External"/><Relationship Id="rId222" Type="http://schemas.openxmlformats.org/officeDocument/2006/relationships/hyperlink" Target="https://cleaning.chezo.africa/" TargetMode="External"/><Relationship Id="rId223" Type="http://schemas.openxmlformats.org/officeDocument/2006/relationships/hyperlink" Target="mailto:info@cyusatech.com" TargetMode="External"/><Relationship Id="rId224" Type="http://schemas.openxmlformats.org/officeDocument/2006/relationships/hyperlink" Target="https://cyusatech.com/" TargetMode="External"/><Relationship Id="rId225" Type="http://schemas.openxmlformats.org/officeDocument/2006/relationships/hyperlink" Target="mailto:info@deprissgrp.co.ke" TargetMode="External"/><Relationship Id="rId226" Type="http://schemas.openxmlformats.org/officeDocument/2006/relationships/hyperlink" Target="https://deprissgrp.co.ke/" TargetMode="External"/><Relationship Id="rId227" Type="http://schemas.openxmlformats.org/officeDocument/2006/relationships/hyperlink" Target="https://www.linkedin.com/company/deprissifm" TargetMode="External"/><Relationship Id="rId228" Type="http://schemas.openxmlformats.org/officeDocument/2006/relationships/hyperlink" Target="mailto:info@emdad-fm.com" TargetMode="External"/><Relationship Id="rId229" Type="http://schemas.openxmlformats.org/officeDocument/2006/relationships/hyperlink" Target="https://emdad-fm.com/" TargetMode="External"/><Relationship Id="rId230" Type="http://schemas.openxmlformats.org/officeDocument/2006/relationships/hyperlink" Target="mailto:info@expertech-eg.com" TargetMode="External"/><Relationship Id="rId231" Type="http://schemas.openxmlformats.org/officeDocument/2006/relationships/hyperlink" Target="https://expertech-eg.com/" TargetMode="External"/><Relationship Id="rId232" Type="http://schemas.openxmlformats.org/officeDocument/2006/relationships/hyperlink" Target="http://www.linkedin.com/company/expertecheg" TargetMode="External"/><Relationship Id="rId233" Type="http://schemas.openxmlformats.org/officeDocument/2006/relationships/hyperlink" Target="mailto:info@fidesgroupgh.com" TargetMode="External"/><Relationship Id="rId234" Type="http://schemas.openxmlformats.org/officeDocument/2006/relationships/hyperlink" Target="https://www.fidesgroupgh.com/" TargetMode="External"/><Relationship Id="rId235" Type="http://schemas.openxmlformats.org/officeDocument/2006/relationships/hyperlink" Target="https://www.linkedin.com/in/fides-group-4a14a7160/" TargetMode="External"/><Relationship Id="rId236" Type="http://schemas.openxmlformats.org/officeDocument/2006/relationships/hyperlink" Target="mailto:support@gna.co.ke" TargetMode="External"/><Relationship Id="rId237" Type="http://schemas.openxmlformats.org/officeDocument/2006/relationships/hyperlink" Target="https://gna.co.ke/" TargetMode="External"/><Relationship Id="rId238" Type="http://schemas.openxmlformats.org/officeDocument/2006/relationships/hyperlink" Target="https://www.linkedin.com/company/gnarealestate/about/" TargetMode="External"/><Relationship Id="rId239" Type="http://schemas.openxmlformats.org/officeDocument/2006/relationships/hyperlink" Target="mailto:tunga@greenspace.rw" TargetMode="External"/><Relationship Id="rId240" Type="http://schemas.openxmlformats.org/officeDocument/2006/relationships/hyperlink" Target="https://greenspace.rw/" TargetMode="External"/><Relationship Id="rId241" Type="http://schemas.openxmlformats.org/officeDocument/2006/relationships/hyperlink" Target="mailto:Info@hom-egypt.com" TargetMode="External"/><Relationship Id="rId242" Type="http://schemas.openxmlformats.org/officeDocument/2006/relationships/hyperlink" Target="https://hom-egypt.com/" TargetMode="External"/><Relationship Id="rId243" Type="http://schemas.openxmlformats.org/officeDocument/2006/relationships/hyperlink" Target="https://www.linkedin.com/company/hom-egyplinkedin-com/" TargetMode="External"/><Relationship Id="rId244" Type="http://schemas.openxmlformats.org/officeDocument/2006/relationships/hyperlink" Target="mailto:info@handymenaccra.com" TargetMode="External"/><Relationship Id="rId245" Type="http://schemas.openxmlformats.org/officeDocument/2006/relationships/hyperlink" Target="https://handymenaccra.com/" TargetMode="External"/><Relationship Id="rId246" Type="http://schemas.openxmlformats.org/officeDocument/2006/relationships/hyperlink" Target="mailto:info@harvestfacilities.com" TargetMode="External"/><Relationship Id="rId247" Type="http://schemas.openxmlformats.org/officeDocument/2006/relationships/hyperlink" Target="https://harvestfacilities.com/" TargetMode="External"/><Relationship Id="rId248" Type="http://schemas.openxmlformats.org/officeDocument/2006/relationships/hyperlink" Target="mailto:info@hotarctic.co.ke" TargetMode="External"/><Relationship Id="rId249" Type="http://schemas.openxmlformats.org/officeDocument/2006/relationships/hyperlink" Target="https://hotarctic.co.ke/" TargetMode="External"/><Relationship Id="rId250" Type="http://schemas.openxmlformats.org/officeDocument/2006/relationships/hyperlink" Target="https://www.linkedin.com/in/hotarctic-heating-and-cooling-920a05169/" TargetMode="External"/><Relationship Id="rId251" Type="http://schemas.openxmlformats.org/officeDocument/2006/relationships/hyperlink" Target="mailto:info@kelmenggh.com" TargetMode="External"/><Relationship Id="rId252" Type="http://schemas.openxmlformats.org/officeDocument/2006/relationships/hyperlink" Target="https://www.kelmenggh.com/" TargetMode="External"/><Relationship Id="rId253" Type="http://schemas.openxmlformats.org/officeDocument/2006/relationships/hyperlink" Target="mailto:info@kleenair.co.tz" TargetMode="External"/><Relationship Id="rId254" Type="http://schemas.openxmlformats.org/officeDocument/2006/relationships/hyperlink" Target="https://www.kleenair.co.tz/" TargetMode="External"/><Relationship Id="rId255" Type="http://schemas.openxmlformats.org/officeDocument/2006/relationships/hyperlink" Target="mailto:info@prestigehvacghltd.com" TargetMode="External"/><Relationship Id="rId256" Type="http://schemas.openxmlformats.org/officeDocument/2006/relationships/hyperlink" Target="https://prestigehvacghltd.com/" TargetMode="External"/><Relationship Id="rId257" Type="http://schemas.openxmlformats.org/officeDocument/2006/relationships/hyperlink" Target="mailto:info@standardsfm.com" TargetMode="External"/><Relationship Id="rId258" Type="http://schemas.openxmlformats.org/officeDocument/2006/relationships/hyperlink" Target="https://standardsfm.com/" TargetMode="External"/><Relationship Id="rId259" Type="http://schemas.openxmlformats.org/officeDocument/2006/relationships/hyperlink" Target="https://www.linkedin.com/company/standardsfm" TargetMode="External"/><Relationship Id="rId260" Type="http://schemas.openxmlformats.org/officeDocument/2006/relationships/hyperlink" Target="mailto:info@tefla.co.za" TargetMode="External"/><Relationship Id="rId261" Type="http://schemas.openxmlformats.org/officeDocument/2006/relationships/hyperlink" Target="https://tefla.co.za/" TargetMode="External"/><Relationship Id="rId262" Type="http://schemas.openxmlformats.org/officeDocument/2006/relationships/hyperlink" Target="https://www.linkedin.com/company/tefla-group" TargetMode="External"/><Relationship Id="rId263" Type="http://schemas.openxmlformats.org/officeDocument/2006/relationships/hyperlink" Target="mailto:contact@thais.ma" TargetMode="External"/><Relationship Id="rId264" Type="http://schemas.openxmlformats.org/officeDocument/2006/relationships/hyperlink" Target="https://thais.ma/" TargetMode="External"/><Relationship Id="rId265" Type="http://schemas.openxmlformats.org/officeDocument/2006/relationships/hyperlink" Target="mailto:info@together-fm.com" TargetMode="External"/><Relationship Id="rId266" Type="http://schemas.openxmlformats.org/officeDocument/2006/relationships/hyperlink" Target="https://www.together-fm.com/" TargetMode="External"/><Relationship Id="rId267" Type="http://schemas.openxmlformats.org/officeDocument/2006/relationships/hyperlink" Target="https://www.linkedin.com/company/together-fm/" TargetMode="External"/><Relationship Id="rId268" Type="http://schemas.openxmlformats.org/officeDocument/2006/relationships/hyperlink" Target="mailto:info@tukole.africa" TargetMode="External"/><Relationship Id="rId269" Type="http://schemas.openxmlformats.org/officeDocument/2006/relationships/hyperlink" Target="https://www.tukole.africa/" TargetMode="External"/><Relationship Id="rId270" Type="http://schemas.openxmlformats.org/officeDocument/2006/relationships/hyperlink" Target="mailto:info@villacarekenya.com" TargetMode="External"/><Relationship Id="rId271" Type="http://schemas.openxmlformats.org/officeDocument/2006/relationships/hyperlink" Target="https://villacarekenya.com/" TargetMode="External"/><Relationship Id="rId272" Type="http://schemas.openxmlformats.org/officeDocument/2006/relationships/hyperlink" Target="mailto:info@wemaintaingh.com" TargetMode="External"/><Relationship Id="rId273" Type="http://schemas.openxmlformats.org/officeDocument/2006/relationships/hyperlink" Target="https://wemaintaingh.com/" TargetMode="External"/><Relationship Id="rId274" Type="http://schemas.openxmlformats.org/officeDocument/2006/relationships/hyperlink" Target="mailto:sales@aptechafrica.com" TargetMode="External"/><Relationship Id="rId275" Type="http://schemas.openxmlformats.org/officeDocument/2006/relationships/hyperlink" Target="https://www.aptechafrica.com/" TargetMode="External"/><Relationship Id="rId276" Type="http://schemas.openxmlformats.org/officeDocument/2006/relationships/hyperlink" Target="mailto:info@cpsolar.co.ke" TargetMode="External"/><Relationship Id="rId277" Type="http://schemas.openxmlformats.org/officeDocument/2006/relationships/hyperlink" Target="https://www.cpsolar.co.ke/" TargetMode="External"/><Relationship Id="rId278" Type="http://schemas.openxmlformats.org/officeDocument/2006/relationships/hyperlink" Target="mailto:info@dengltd.com" TargetMode="External"/><Relationship Id="rId279" Type="http://schemas.openxmlformats.org/officeDocument/2006/relationships/hyperlink" Target="https://www.dengltd.com/" TargetMode="External"/><Relationship Id="rId280" Type="http://schemas.openxmlformats.org/officeDocument/2006/relationships/hyperlink" Target="mailto:info@greenlink-regen.com" TargetMode="External"/><Relationship Id="rId281" Type="http://schemas.openxmlformats.org/officeDocument/2006/relationships/hyperlink" Target="https://greenlink-regen.com/" TargetMode="External"/><Relationship Id="rId282" Type="http://schemas.openxmlformats.org/officeDocument/2006/relationships/hyperlink" Target="https://www.linkedin.com/company/94254543" TargetMode="External"/><Relationship Id="rId283" Type="http://schemas.openxmlformats.org/officeDocument/2006/relationships/hyperlink" Target="mailto:info@imexolutions.co.ke" TargetMode="External"/><Relationship Id="rId284" Type="http://schemas.openxmlformats.org/officeDocument/2006/relationships/hyperlink" Target="https://www.imexolutions.co.ke/" TargetMode="External"/><Relationship Id="rId285" Type="http://schemas.openxmlformats.org/officeDocument/2006/relationships/hyperlink" Target="https://www.linkedin.com/company/imexolutions-ltd/" TargetMode="External"/><Relationship Id="rId286" Type="http://schemas.openxmlformats.org/officeDocument/2006/relationships/hyperlink" Target="mailto:talk2us@ofgen.africa" TargetMode="External"/><Relationship Id="rId287" Type="http://schemas.openxmlformats.org/officeDocument/2006/relationships/hyperlink" Target="https://ofgen.africa/" TargetMode="External"/><Relationship Id="rId288" Type="http://schemas.openxmlformats.org/officeDocument/2006/relationships/hyperlink" Target="mailto:info@ozosolar.com" TargetMode="External"/><Relationship Id="rId289" Type="http://schemas.openxmlformats.org/officeDocument/2006/relationships/hyperlink" Target="https://www.ozosolar.com/" TargetMode="External"/><Relationship Id="rId290" Type="http://schemas.openxmlformats.org/officeDocument/2006/relationships/hyperlink" Target="mailto:info@plexus-energy.co.ke" TargetMode="External"/><Relationship Id="rId291" Type="http://schemas.openxmlformats.org/officeDocument/2006/relationships/hyperlink" Target="https://www.plexus-energy.co.ke/" TargetMode="External"/><Relationship Id="rId292" Type="http://schemas.openxmlformats.org/officeDocument/2006/relationships/hyperlink" Target="https://www.linkedin.com/company/plexus-energy-limited/" TargetMode="External"/><Relationship Id="rId293" Type="http://schemas.openxmlformats.org/officeDocument/2006/relationships/hyperlink" Target="mailto:info@renewvia.com" TargetMode="External"/><Relationship Id="rId294" Type="http://schemas.openxmlformats.org/officeDocument/2006/relationships/hyperlink" Target="https://www.renewvia.com/" TargetMode="External"/><Relationship Id="rId295" Type="http://schemas.openxmlformats.org/officeDocument/2006/relationships/hyperlink" Target="https://www.linkedin.com/company/renewvia-energy" TargetMode="External"/><Relationship Id="rId296" Type="http://schemas.openxmlformats.org/officeDocument/2006/relationships/hyperlink" Target="mailto:info@solagroup.co.za" TargetMode="External"/><Relationship Id="rId297" Type="http://schemas.openxmlformats.org/officeDocument/2006/relationships/hyperlink" Target="https://solagroup.co.za/" TargetMode="External"/><Relationship Id="rId298" Type="http://schemas.openxmlformats.org/officeDocument/2006/relationships/hyperlink" Target="https://www.linkedin.com/company/3302293/" TargetMode="External"/><Relationship Id="rId299" Type="http://schemas.openxmlformats.org/officeDocument/2006/relationships/hyperlink" Target="mailto:info@solarepc.co.za" TargetMode="External"/><Relationship Id="rId300" Type="http://schemas.openxmlformats.org/officeDocument/2006/relationships/hyperlink" Target="https://www.solarepc.co.za/" TargetMode="External"/><Relationship Id="rId301" Type="http://schemas.openxmlformats.org/officeDocument/2006/relationships/hyperlink" Target="mailto:info@solarafrica.com" TargetMode="External"/><Relationship Id="rId302" Type="http://schemas.openxmlformats.org/officeDocument/2006/relationships/hyperlink" Target="https://solarafrica.com/" TargetMode="External"/><Relationship Id="rId303" Type="http://schemas.openxmlformats.org/officeDocument/2006/relationships/hyperlink" Target="https://www.linkedin.com/company/solarafricasa/" TargetMode="External"/><Relationship Id="rId304" Type="http://schemas.openxmlformats.org/officeDocument/2006/relationships/hyperlink" Target="mailto:info@solarxgen.com" TargetMode="External"/><Relationship Id="rId305" Type="http://schemas.openxmlformats.org/officeDocument/2006/relationships/hyperlink" Target="https://solarxgen.co.za/" TargetMode="External"/><Relationship Id="rId306" Type="http://schemas.openxmlformats.org/officeDocument/2006/relationships/hyperlink" Target="mailto:info@solargentechnologies.com" TargetMode="External"/><Relationship Id="rId307" Type="http://schemas.openxmlformats.org/officeDocument/2006/relationships/hyperlink" Target="https://solargentechnologies.com/" TargetMode="External"/><Relationship Id="rId308" Type="http://schemas.openxmlformats.org/officeDocument/2006/relationships/hyperlink" Target="https://ke.linkedin.com/company/solargen-technologies" TargetMode="External"/><Relationship Id="rId309" Type="http://schemas.openxmlformats.org/officeDocument/2006/relationships/hyperlink" Target="mailto:info@specializedsolarsystems.co.za" TargetMode="External"/><Relationship Id="rId310" Type="http://schemas.openxmlformats.org/officeDocument/2006/relationships/hyperlink" Target="https://specializedsolarsystems.co.za/" TargetMode="External"/><Relationship Id="rId311" Type="http://schemas.openxmlformats.org/officeDocument/2006/relationships/hyperlink" Target="https://za.linkedin.com/company/specialized-solar-systems" TargetMode="External"/><Relationship Id="rId312" Type="http://schemas.openxmlformats.org/officeDocument/2006/relationships/hyperlink" Target="mailto:jordan@sunbirdsolar.co.za" TargetMode="External"/><Relationship Id="rId313" Type="http://schemas.openxmlformats.org/officeDocument/2006/relationships/hyperlink" Target="https://sunbirdsolar.co.za/" TargetMode="External"/><Relationship Id="rId314" Type="http://schemas.openxmlformats.org/officeDocument/2006/relationships/hyperlink" Target="mailto:contact@sps.africa" TargetMode="External"/><Relationship Id="rId315" Type="http://schemas.openxmlformats.org/officeDocument/2006/relationships/hyperlink" Target="https://sps.africa/" TargetMode="External"/><Relationship Id="rId316" Type="http://schemas.openxmlformats.org/officeDocument/2006/relationships/hyperlink" Target="https://www.linkedin.com/company/sustainable-power-solutions/" TargetMode="External"/><Relationship Id="rId317" Type="http://schemas.openxmlformats.org/officeDocument/2006/relationships/hyperlink" Target="https://alphamead.com/" TargetMode="External"/><Relationship Id="rId318" Type="http://schemas.openxmlformats.org/officeDocument/2006/relationships/hyperlink" Target="https://eliezergroup.com/" TargetMode="External"/><Relationship Id="rId319" Type="http://schemas.openxmlformats.org/officeDocument/2006/relationships/hyperlink" Target="https://ng.linkedin.com/company/eliezer-workplace-management-ltd" TargetMode="External"/><Relationship Id="rId320" Type="http://schemas.openxmlformats.org/officeDocument/2006/relationships/hyperlink" Target="https://filmofacilities.com/" TargetMode="External"/><Relationship Id="rId321" Type="http://schemas.openxmlformats.org/officeDocument/2006/relationships/hyperlink" Target="https://www.linkedin.com/company/filmorealestate/" TargetMode="External"/><Relationship Id="rId322" Type="http://schemas.openxmlformats.org/officeDocument/2006/relationships/hyperlink" Target="https://bluecamelenergy.com.ng/" TargetMode="External"/><Relationship Id="rId323" Type="http://schemas.openxmlformats.org/officeDocument/2006/relationships/hyperlink" Target="https://ng.linkedin.com/company/blue-camel-energy" TargetMode="External"/><Relationship Id="rId324" Type="http://schemas.openxmlformats.org/officeDocument/2006/relationships/hyperlink" Target="https://hiansenergy.com/" TargetMode="External"/><Relationship Id="rId325" Type="http://schemas.openxmlformats.org/officeDocument/2006/relationships/hyperlink" Target="https://www.afm-eg.com/en" TargetMode="External"/><Relationship Id="rId326" Type="http://schemas.openxmlformats.org/officeDocument/2006/relationships/hyperlink" Target="https://www.linkedin.com/company/arab-facility-management/" TargetMode="External"/><Relationship Id="rId327" Type="http://schemas.openxmlformats.org/officeDocument/2006/relationships/hyperlink" Target="https://www.facilitysolutiongroup.ma/" TargetMode="External"/><Relationship Id="rId328" Type="http://schemas.openxmlformats.org/officeDocument/2006/relationships/hyperlink" Target="https://toac.co.za/" TargetMode="External"/><Relationship Id="rId329" Type="http://schemas.openxmlformats.org/officeDocument/2006/relationships/hyperlink" Target="https://www.linkedin.com/company/two-oceans-airconditioning/" TargetMode="External"/><Relationship Id="rId330" Type="http://schemas.openxmlformats.org/officeDocument/2006/relationships/hyperlink" Target="https://energyprecisions.com/" TargetMode="External"/><Relationship Id="rId331" Type="http://schemas.openxmlformats.org/officeDocument/2006/relationships/hyperlink" Target="https://www.gle.solar/" TargetMode="External"/><Relationship Id="rId332" Type="http://schemas.openxmlformats.org/officeDocument/2006/relationships/hyperlink" Target="https://rw.linkedin.com/company/greatlakesenergyrwanda" TargetMode="External"/><Relationship Id="rId333" Type="http://schemas.openxmlformats.org/officeDocument/2006/relationships/hyperlink" Target="mailto:info@9solar.ng" TargetMode="External"/><Relationship Id="rId334" Type="http://schemas.openxmlformats.org/officeDocument/2006/relationships/hyperlink" Target="https://9solar.ng/" TargetMode="External"/><Relationship Id="rId335" Type="http://schemas.openxmlformats.org/officeDocument/2006/relationships/hyperlink" Target="mailto:info@auxanosolar.com" TargetMode="External"/><Relationship Id="rId336" Type="http://schemas.openxmlformats.org/officeDocument/2006/relationships/hyperlink" Target="https://auxanosolar.com/" TargetMode="External"/><Relationship Id="rId337" Type="http://schemas.openxmlformats.org/officeDocument/2006/relationships/hyperlink" Target="https://www.linkedin.com/in/auxanosolar/" TargetMode="External"/><Relationship Id="rId338" Type="http://schemas.openxmlformats.org/officeDocument/2006/relationships/hyperlink" Target="mailto:info@cloudenergy.com.ng" TargetMode="External"/><Relationship Id="rId339" Type="http://schemas.openxmlformats.org/officeDocument/2006/relationships/hyperlink" Target="https://cloudenergy.com.ng/" TargetMode="External"/><Relationship Id="rId340" Type="http://schemas.openxmlformats.org/officeDocument/2006/relationships/hyperlink" Target="https://www.linkedin.com/company/cloud-energy-photoelectric-limited/" TargetMode="External"/><Relationship Id="rId341" Type="http://schemas.openxmlformats.org/officeDocument/2006/relationships/hyperlink" Target="mailto:info@consistent-energy.com" TargetMode="External"/><Relationship Id="rId342" Type="http://schemas.openxmlformats.org/officeDocument/2006/relationships/hyperlink" Target="https://www.consistent-energy.com/" TargetMode="External"/><Relationship Id="rId343" Type="http://schemas.openxmlformats.org/officeDocument/2006/relationships/hyperlink" Target="mailto:info@creedsenergy.com" TargetMode="External"/><Relationship Id="rId344" Type="http://schemas.openxmlformats.org/officeDocument/2006/relationships/hyperlink" Target="https://creedsenergy.com/" TargetMode="External"/><Relationship Id="rId345" Type="http://schemas.openxmlformats.org/officeDocument/2006/relationships/hyperlink" Target="mailto:hello@daystar-power.com" TargetMode="External"/><Relationship Id="rId346" Type="http://schemas.openxmlformats.org/officeDocument/2006/relationships/hyperlink" Target="https://www.daystar-power.com/" TargetMode="External"/><Relationship Id="rId347" Type="http://schemas.openxmlformats.org/officeDocument/2006/relationships/hyperlink" Target="https://www.linkedin.com/company/daystar-power-group/" TargetMode="External"/><Relationship Id="rId348" Type="http://schemas.openxmlformats.org/officeDocument/2006/relationships/hyperlink" Target="mailto:sales@energyexcell.com" TargetMode="External"/><Relationship Id="rId349" Type="http://schemas.openxmlformats.org/officeDocument/2006/relationships/hyperlink" Target="https://www.energyexcell.com/" TargetMode="External"/><Relationship Id="rId350" Type="http://schemas.openxmlformats.org/officeDocument/2006/relationships/hyperlink" Target="mailto:enerplaz@yahoo.com" TargetMode="External"/><Relationship Id="rId351" Type="http://schemas.openxmlformats.org/officeDocument/2006/relationships/hyperlink" Target="https://www.enerplaz.com/" TargetMode="External"/><Relationship Id="rId352" Type="http://schemas.openxmlformats.org/officeDocument/2006/relationships/hyperlink" Target="mailto:shs@greenpowernig.com" TargetMode="External"/><Relationship Id="rId353" Type="http://schemas.openxmlformats.org/officeDocument/2006/relationships/hyperlink" Target="https://greenpower.ng/" TargetMode="External"/><Relationship Id="rId354" Type="http://schemas.openxmlformats.org/officeDocument/2006/relationships/hyperlink" Target="https://ng.linkedin.com/company/greenpower-overseas-limited-3208" TargetMode="External"/><Relationship Id="rId355" Type="http://schemas.openxmlformats.org/officeDocument/2006/relationships/hyperlink" Target="mailto:info@salphaenergy.com" TargetMode="External"/><Relationship Id="rId356" Type="http://schemas.openxmlformats.org/officeDocument/2006/relationships/hyperlink" Target="https://salphaenergy.com/" TargetMode="External"/><Relationship Id="rId357" Type="http://schemas.openxmlformats.org/officeDocument/2006/relationships/hyperlink" Target="mailto:solar@solyntaenergy.com" TargetMode="External"/><Relationship Id="rId358" Type="http://schemas.openxmlformats.org/officeDocument/2006/relationships/hyperlink" Target="https://www.solyntaenergy.com/" TargetMode="External"/><Relationship Id="rId359" Type="http://schemas.openxmlformats.org/officeDocument/2006/relationships/hyperlink" Target="https://ng.linkedin.com/company/solynta-energy" TargetMode="External"/><Relationship Id="rId360" Type="http://schemas.openxmlformats.org/officeDocument/2006/relationships/hyperlink" Target="mailto:info@starsightenergy.com" TargetMode="External"/><Relationship Id="rId361" Type="http://schemas.openxmlformats.org/officeDocument/2006/relationships/hyperlink" Target="https://starsightenergy.com/" TargetMode="External"/><Relationship Id="rId362" Type="http://schemas.openxmlformats.org/officeDocument/2006/relationships/hyperlink" Target="https://www.linkedin.com/company/starsight-power-utility-limited/" TargetMode="External"/><Relationship Id="rId363" Type="http://schemas.openxmlformats.org/officeDocument/2006/relationships/hyperlink" Target="mailto:info@kusoya.com" TargetMode="External"/><Relationship Id="rId364" Type="http://schemas.openxmlformats.org/officeDocument/2006/relationships/hyperlink" Target="https://www.kusoya.com/" TargetMode="External"/><Relationship Id="rId365" Type="http://schemas.openxmlformats.org/officeDocument/2006/relationships/hyperlink" Target="https://www.linkedin.com/company/kusoya-limited/" TargetMode="External"/><Relationship Id="rId366" Type="http://schemas.openxmlformats.org/officeDocument/2006/relationships/hyperlink" Target="mailto:info@naikosolar.com" TargetMode="External"/><Relationship Id="rId367" Type="http://schemas.openxmlformats.org/officeDocument/2006/relationships/hyperlink" Target="https://naikosolar.com/" TargetMode="External"/><Relationship Id="rId368" Type="http://schemas.openxmlformats.org/officeDocument/2006/relationships/hyperlink" Target="mailto:info@translightsolar.com" TargetMode="External"/><Relationship Id="rId369" Type="http://schemas.openxmlformats.org/officeDocument/2006/relationships/hyperlink" Target="https://translightsolar.com/" TargetMode="External"/><Relationship Id="rId370" Type="http://schemas.openxmlformats.org/officeDocument/2006/relationships/hyperlink" Target="https://gh.linkedin.com/company/translightsolar" TargetMode="External"/><Relationship Id="rId371" Type="http://schemas.openxmlformats.org/officeDocument/2006/relationships/hyperlink" Target="mailto:sales@versofy.energy" TargetMode="External"/><Relationship Id="rId372" Type="http://schemas.openxmlformats.org/officeDocument/2006/relationships/hyperlink" Target="https://www.versofy.energy/" TargetMode="External"/><Relationship Id="rId373" Type="http://schemas.openxmlformats.org/officeDocument/2006/relationships/hyperlink" Target="https://www.linkedin.com/company/versofy/" TargetMode="External"/><Relationship Id="rId374" Type="http://schemas.openxmlformats.org/officeDocument/2006/relationships/hyperlink" Target="https://asolarnig.com/" TargetMode="External"/><Relationship Id="rId375" Type="http://schemas.openxmlformats.org/officeDocument/2006/relationships/hyperlink" Target="https://ng.linkedin.com/company/asolar-nigeria" TargetMode="External"/><Relationship Id="rId376" Type="http://schemas.openxmlformats.org/officeDocument/2006/relationships/hyperlink" Target="https://www.arnergy.com/" TargetMode="External"/><Relationship Id="rId377" Type="http://schemas.openxmlformats.org/officeDocument/2006/relationships/hyperlink" Target="https://www.linkedin.com/company/arnergy" TargetMode="External"/><Relationship Id="rId378" Type="http://schemas.openxmlformats.org/officeDocument/2006/relationships/hyperlink" Target="https://rhinoenergy.co.za/" TargetMode="External"/><Relationship Id="rId379" Type="http://schemas.openxmlformats.org/officeDocument/2006/relationships/hyperlink" Target="https://www.solarnow.eu/" TargetMode="External"/><Relationship Id="rId38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16"/>
    <col collapsed="false" customWidth="true" hidden="false" outlineLevel="0" max="4" min="4" style="0" width="26"/>
    <col collapsed="false" customWidth="true" hidden="false" outlineLevel="0" max="5" min="5" style="0" width="13"/>
    <col collapsed="false" customWidth="true" hidden="false" outlineLevel="0" max="6" min="6" style="0" width="14"/>
    <col collapsed="false" customWidth="true" hidden="false" outlineLevel="0" max="7" min="7" style="0" width="34"/>
    <col collapsed="false" customWidth="true" hidden="false" outlineLevel="0" max="8" min="8" style="0" width="15"/>
    <col collapsed="false" customWidth="true" hidden="false" outlineLevel="0" max="9" min="9" style="0" width="18"/>
    <col collapsed="false" customWidth="true" hidden="false" outlineLevel="0" max="10" min="10" style="0" width="32"/>
    <col collapsed="false" customWidth="true" hidden="false" outlineLevel="0" max="11" min="11" style="0" width="30"/>
    <col collapsed="false" customWidth="true" hidden="false" outlineLevel="0" max="12" min="12" style="0" width="60"/>
    <col collapsed="false" customWidth="true" hidden="false" outlineLevel="0" max="13" min="13" style="0" width="46"/>
    <col collapsed="false" customWidth="true" hidden="false" outlineLevel="0" max="14" min="14" style="0" width="60"/>
    <col collapsed="false" customWidth="true" hidden="false" outlineLevel="0" max="15" min="15" style="0" width="48"/>
    <col collapsed="false" customWidth="true" hidden="false" outlineLevel="0" max="16" min="16" style="0" width="34"/>
    <col collapsed="false" customWidth="true" hidden="false" outlineLevel="0" max="17" min="17" style="0" width="16"/>
    <col collapsed="false" customWidth="true" hidden="false" outlineLevel="0" max="18" min="18" style="0" width="12"/>
    <col collapsed="false" customWidth="true" hidden="false" outlineLevel="0" max="19" min="19" style="0" width="3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23.85" hidden="false" customHeight="false" outlineLevel="0" collapsed="false">
      <c r="A2" s="2" t="s">
        <v>19</v>
      </c>
      <c r="B2" s="3" t="s">
        <v>20</v>
      </c>
      <c r="C2" s="3" t="s">
        <v>21</v>
      </c>
      <c r="D2" s="3" t="s">
        <v>22</v>
      </c>
      <c r="E2" s="3" t="s">
        <v>23</v>
      </c>
      <c r="F2" s="3" t="s">
        <v>24</v>
      </c>
      <c r="G2" s="4" t="s">
        <v>25</v>
      </c>
      <c r="H2" s="3" t="s">
        <v>26</v>
      </c>
      <c r="I2" s="3"/>
      <c r="J2" s="4" t="s">
        <v>27</v>
      </c>
      <c r="K2" s="3"/>
      <c r="L2" s="5" t="s">
        <v>28</v>
      </c>
      <c r="M2" s="5" t="s">
        <v>29</v>
      </c>
      <c r="N2" s="5" t="s">
        <v>30</v>
      </c>
      <c r="O2" s="3" t="s">
        <v>31</v>
      </c>
      <c r="P2" s="3" t="s">
        <v>32</v>
      </c>
      <c r="Q2" s="3" t="s">
        <v>33</v>
      </c>
      <c r="R2" s="6"/>
      <c r="S2" s="3"/>
    </row>
    <row r="3" customFormat="false" ht="23.85" hidden="false" customHeight="false" outlineLevel="0" collapsed="false">
      <c r="A3" s="2" t="s">
        <v>19</v>
      </c>
      <c r="B3" s="3" t="s">
        <v>34</v>
      </c>
      <c r="C3" s="3" t="s">
        <v>21</v>
      </c>
      <c r="D3" s="3" t="s">
        <v>35</v>
      </c>
      <c r="E3" s="3" t="s">
        <v>23</v>
      </c>
      <c r="F3" s="3" t="s">
        <v>24</v>
      </c>
      <c r="G3" s="4" t="s">
        <v>36</v>
      </c>
      <c r="H3" s="3" t="s">
        <v>26</v>
      </c>
      <c r="I3" s="3" t="s">
        <v>37</v>
      </c>
      <c r="J3" s="4" t="s">
        <v>38</v>
      </c>
      <c r="K3" s="4" t="s">
        <v>39</v>
      </c>
      <c r="L3" s="5" t="s">
        <v>40</v>
      </c>
      <c r="M3" s="5" t="s">
        <v>41</v>
      </c>
      <c r="N3" s="5" t="s">
        <v>42</v>
      </c>
      <c r="O3" s="3" t="s">
        <v>43</v>
      </c>
      <c r="P3" s="3" t="s">
        <v>38</v>
      </c>
      <c r="Q3" s="3" t="s">
        <v>33</v>
      </c>
      <c r="R3" s="6"/>
      <c r="S3" s="3"/>
    </row>
    <row r="4" customFormat="false" ht="35.05" hidden="false" customHeight="false" outlineLevel="0" collapsed="false">
      <c r="A4" s="2" t="s">
        <v>19</v>
      </c>
      <c r="B4" s="3" t="s">
        <v>44</v>
      </c>
      <c r="C4" s="3" t="s">
        <v>21</v>
      </c>
      <c r="D4" s="3" t="s">
        <v>22</v>
      </c>
      <c r="E4" s="3" t="s">
        <v>23</v>
      </c>
      <c r="F4" s="3" t="s">
        <v>24</v>
      </c>
      <c r="G4" s="4" t="s">
        <v>45</v>
      </c>
      <c r="H4" s="3" t="s">
        <v>26</v>
      </c>
      <c r="I4" s="3" t="s">
        <v>46</v>
      </c>
      <c r="J4" s="4" t="s">
        <v>47</v>
      </c>
      <c r="K4" s="4" t="s">
        <v>48</v>
      </c>
      <c r="L4" s="5" t="s">
        <v>49</v>
      </c>
      <c r="M4" s="5" t="s">
        <v>29</v>
      </c>
      <c r="N4" s="5" t="s">
        <v>30</v>
      </c>
      <c r="O4" s="3" t="s">
        <v>50</v>
      </c>
      <c r="P4" s="3" t="s">
        <v>47</v>
      </c>
      <c r="Q4" s="3" t="s">
        <v>33</v>
      </c>
      <c r="R4" s="6"/>
      <c r="S4" s="3"/>
    </row>
    <row r="5" customFormat="false" ht="23.85" hidden="false" customHeight="false" outlineLevel="0" collapsed="false">
      <c r="A5" s="2" t="s">
        <v>19</v>
      </c>
      <c r="B5" s="3" t="s">
        <v>51</v>
      </c>
      <c r="C5" s="3" t="s">
        <v>21</v>
      </c>
      <c r="D5" s="3" t="s">
        <v>52</v>
      </c>
      <c r="E5" s="3" t="s">
        <v>23</v>
      </c>
      <c r="F5" s="3" t="s">
        <v>24</v>
      </c>
      <c r="G5" s="4" t="s">
        <v>53</v>
      </c>
      <c r="H5" s="3" t="s">
        <v>26</v>
      </c>
      <c r="I5" s="3"/>
      <c r="J5" s="4" t="s">
        <v>54</v>
      </c>
      <c r="K5" s="3"/>
      <c r="L5" s="5" t="s">
        <v>55</v>
      </c>
      <c r="M5" s="5" t="s">
        <v>41</v>
      </c>
      <c r="N5" s="5" t="s">
        <v>56</v>
      </c>
      <c r="O5" s="3" t="s">
        <v>57</v>
      </c>
      <c r="P5" s="3" t="s">
        <v>58</v>
      </c>
      <c r="Q5" s="3" t="s">
        <v>33</v>
      </c>
      <c r="R5" s="6"/>
      <c r="S5" s="3"/>
    </row>
    <row r="6" customFormat="false" ht="23.85" hidden="false" customHeight="false" outlineLevel="0" collapsed="false">
      <c r="A6" s="2" t="s">
        <v>19</v>
      </c>
      <c r="B6" s="3" t="s">
        <v>59</v>
      </c>
      <c r="C6" s="3" t="s">
        <v>21</v>
      </c>
      <c r="D6" s="3" t="s">
        <v>60</v>
      </c>
      <c r="E6" s="3" t="s">
        <v>23</v>
      </c>
      <c r="F6" s="3" t="s">
        <v>24</v>
      </c>
      <c r="G6" s="4" t="s">
        <v>61</v>
      </c>
      <c r="H6" s="3" t="s">
        <v>62</v>
      </c>
      <c r="I6" s="3" t="s">
        <v>63</v>
      </c>
      <c r="J6" s="4" t="s">
        <v>64</v>
      </c>
      <c r="K6" s="4" t="s">
        <v>65</v>
      </c>
      <c r="L6" s="5" t="s">
        <v>66</v>
      </c>
      <c r="M6" s="5" t="s">
        <v>41</v>
      </c>
      <c r="N6" s="5" t="s">
        <v>67</v>
      </c>
      <c r="O6" s="3" t="s">
        <v>68</v>
      </c>
      <c r="P6" s="3" t="s">
        <v>64</v>
      </c>
      <c r="Q6" s="3" t="s">
        <v>33</v>
      </c>
      <c r="R6" s="6"/>
      <c r="S6" s="3"/>
    </row>
    <row r="7" customFormat="false" ht="23.85" hidden="false" customHeight="false" outlineLevel="0" collapsed="false">
      <c r="A7" s="2" t="s">
        <v>19</v>
      </c>
      <c r="B7" s="3" t="s">
        <v>69</v>
      </c>
      <c r="C7" s="3" t="s">
        <v>21</v>
      </c>
      <c r="D7" s="3" t="s">
        <v>70</v>
      </c>
      <c r="E7" s="3" t="s">
        <v>23</v>
      </c>
      <c r="F7" s="3" t="s">
        <v>24</v>
      </c>
      <c r="G7" s="4" t="s">
        <v>71</v>
      </c>
      <c r="H7" s="3" t="s">
        <v>26</v>
      </c>
      <c r="I7" s="3" t="s">
        <v>72</v>
      </c>
      <c r="J7" s="4" t="s">
        <v>73</v>
      </c>
      <c r="K7" s="4" t="s">
        <v>74</v>
      </c>
      <c r="L7" s="5" t="s">
        <v>75</v>
      </c>
      <c r="M7" s="5" t="s">
        <v>76</v>
      </c>
      <c r="N7" s="5" t="s">
        <v>77</v>
      </c>
      <c r="O7" s="3" t="s">
        <v>78</v>
      </c>
      <c r="P7" s="3" t="s">
        <v>73</v>
      </c>
      <c r="Q7" s="3" t="s">
        <v>33</v>
      </c>
      <c r="R7" s="6"/>
      <c r="S7" s="3"/>
    </row>
    <row r="8" customFormat="false" ht="23.85" hidden="false" customHeight="false" outlineLevel="0" collapsed="false">
      <c r="A8" s="2" t="s">
        <v>19</v>
      </c>
      <c r="B8" s="3" t="s">
        <v>79</v>
      </c>
      <c r="C8" s="3" t="s">
        <v>21</v>
      </c>
      <c r="D8" s="3" t="s">
        <v>70</v>
      </c>
      <c r="E8" s="3" t="s">
        <v>23</v>
      </c>
      <c r="F8" s="3" t="s">
        <v>24</v>
      </c>
      <c r="G8" s="4" t="s">
        <v>80</v>
      </c>
      <c r="H8" s="3" t="s">
        <v>26</v>
      </c>
      <c r="I8" s="3" t="s">
        <v>81</v>
      </c>
      <c r="J8" s="4" t="s">
        <v>82</v>
      </c>
      <c r="K8" s="3"/>
      <c r="L8" s="5" t="s">
        <v>83</v>
      </c>
      <c r="M8" s="5" t="s">
        <v>29</v>
      </c>
      <c r="N8" s="5" t="s">
        <v>77</v>
      </c>
      <c r="O8" s="3" t="s">
        <v>84</v>
      </c>
      <c r="P8" s="3" t="s">
        <v>82</v>
      </c>
      <c r="Q8" s="3" t="s">
        <v>33</v>
      </c>
      <c r="R8" s="6"/>
      <c r="S8" s="3"/>
    </row>
    <row r="9" customFormat="false" ht="23.85" hidden="false" customHeight="false" outlineLevel="0" collapsed="false">
      <c r="A9" s="2" t="s">
        <v>19</v>
      </c>
      <c r="B9" s="3" t="s">
        <v>85</v>
      </c>
      <c r="C9" s="3" t="s">
        <v>21</v>
      </c>
      <c r="D9" s="3" t="s">
        <v>70</v>
      </c>
      <c r="E9" s="3" t="s">
        <v>23</v>
      </c>
      <c r="F9" s="3" t="s">
        <v>24</v>
      </c>
      <c r="G9" s="4" t="s">
        <v>86</v>
      </c>
      <c r="H9" s="3" t="s">
        <v>26</v>
      </c>
      <c r="I9" s="3" t="s">
        <v>87</v>
      </c>
      <c r="J9" s="4" t="s">
        <v>88</v>
      </c>
      <c r="K9" s="4" t="s">
        <v>89</v>
      </c>
      <c r="L9" s="5" t="s">
        <v>90</v>
      </c>
      <c r="M9" s="5" t="s">
        <v>29</v>
      </c>
      <c r="N9" s="5" t="s">
        <v>77</v>
      </c>
      <c r="O9" s="3" t="s">
        <v>91</v>
      </c>
      <c r="P9" s="3" t="s">
        <v>88</v>
      </c>
      <c r="Q9" s="3" t="s">
        <v>33</v>
      </c>
      <c r="R9" s="6"/>
      <c r="S9" s="3"/>
    </row>
    <row r="10" customFormat="false" ht="23.85" hidden="false" customHeight="false" outlineLevel="0" collapsed="false">
      <c r="A10" s="2" t="s">
        <v>19</v>
      </c>
      <c r="B10" s="3" t="s">
        <v>92</v>
      </c>
      <c r="C10" s="3" t="s">
        <v>21</v>
      </c>
      <c r="D10" s="3" t="s">
        <v>70</v>
      </c>
      <c r="E10" s="3" t="s">
        <v>23</v>
      </c>
      <c r="F10" s="3" t="s">
        <v>93</v>
      </c>
      <c r="G10" s="4" t="s">
        <v>94</v>
      </c>
      <c r="H10" s="3" t="s">
        <v>26</v>
      </c>
      <c r="I10" s="3" t="s">
        <v>95</v>
      </c>
      <c r="J10" s="4" t="s">
        <v>96</v>
      </c>
      <c r="K10" s="3"/>
      <c r="L10" s="5" t="s">
        <v>97</v>
      </c>
      <c r="M10" s="5" t="s">
        <v>98</v>
      </c>
      <c r="N10" s="5" t="s">
        <v>77</v>
      </c>
      <c r="O10" s="3" t="s">
        <v>99</v>
      </c>
      <c r="P10" s="3" t="s">
        <v>96</v>
      </c>
      <c r="Q10" s="3" t="s">
        <v>33</v>
      </c>
      <c r="R10" s="6"/>
      <c r="S10" s="3"/>
    </row>
    <row r="11" customFormat="false" ht="23.85" hidden="false" customHeight="false" outlineLevel="0" collapsed="false">
      <c r="A11" s="2" t="s">
        <v>19</v>
      </c>
      <c r="B11" s="3" t="s">
        <v>100</v>
      </c>
      <c r="C11" s="3" t="s">
        <v>21</v>
      </c>
      <c r="D11" s="3" t="s">
        <v>22</v>
      </c>
      <c r="E11" s="3" t="s">
        <v>23</v>
      </c>
      <c r="F11" s="3" t="s">
        <v>24</v>
      </c>
      <c r="G11" s="4" t="s">
        <v>101</v>
      </c>
      <c r="H11" s="3" t="s">
        <v>26</v>
      </c>
      <c r="I11" s="3" t="s">
        <v>102</v>
      </c>
      <c r="J11" s="4" t="s">
        <v>103</v>
      </c>
      <c r="K11" s="3"/>
      <c r="L11" s="5" t="s">
        <v>104</v>
      </c>
      <c r="M11" s="5" t="s">
        <v>29</v>
      </c>
      <c r="N11" s="5" t="s">
        <v>30</v>
      </c>
      <c r="O11" s="3" t="s">
        <v>105</v>
      </c>
      <c r="P11" s="3" t="s">
        <v>103</v>
      </c>
      <c r="Q11" s="3" t="s">
        <v>33</v>
      </c>
      <c r="R11" s="6"/>
      <c r="S11" s="3"/>
    </row>
    <row r="12" customFormat="false" ht="23.85" hidden="false" customHeight="false" outlineLevel="0" collapsed="false">
      <c r="A12" s="2" t="s">
        <v>19</v>
      </c>
      <c r="B12" s="3" t="s">
        <v>106</v>
      </c>
      <c r="C12" s="3" t="s">
        <v>21</v>
      </c>
      <c r="D12" s="3" t="s">
        <v>60</v>
      </c>
      <c r="E12" s="3" t="s">
        <v>23</v>
      </c>
      <c r="F12" s="3" t="s">
        <v>24</v>
      </c>
      <c r="G12" s="4" t="s">
        <v>107</v>
      </c>
      <c r="H12" s="3" t="s">
        <v>26</v>
      </c>
      <c r="I12" s="3" t="s">
        <v>108</v>
      </c>
      <c r="J12" s="4" t="s">
        <v>109</v>
      </c>
      <c r="K12" s="3"/>
      <c r="L12" s="5" t="s">
        <v>110</v>
      </c>
      <c r="M12" s="5" t="s">
        <v>41</v>
      </c>
      <c r="N12" s="5" t="s">
        <v>67</v>
      </c>
      <c r="O12" s="3" t="s">
        <v>111</v>
      </c>
      <c r="P12" s="3" t="s">
        <v>109</v>
      </c>
      <c r="Q12" s="3" t="s">
        <v>33</v>
      </c>
      <c r="R12" s="6"/>
      <c r="S12" s="3"/>
    </row>
    <row r="13" customFormat="false" ht="23.85" hidden="false" customHeight="false" outlineLevel="0" collapsed="false">
      <c r="A13" s="2" t="s">
        <v>19</v>
      </c>
      <c r="B13" s="3" t="s">
        <v>112</v>
      </c>
      <c r="C13" s="3" t="s">
        <v>113</v>
      </c>
      <c r="D13" s="3" t="s">
        <v>114</v>
      </c>
      <c r="E13" s="3" t="s">
        <v>23</v>
      </c>
      <c r="F13" s="3" t="s">
        <v>115</v>
      </c>
      <c r="G13" s="4" t="s">
        <v>116</v>
      </c>
      <c r="H13" s="3" t="s">
        <v>26</v>
      </c>
      <c r="I13" s="3"/>
      <c r="J13" s="4" t="s">
        <v>117</v>
      </c>
      <c r="K13" s="4" t="s">
        <v>118</v>
      </c>
      <c r="L13" s="5" t="s">
        <v>119</v>
      </c>
      <c r="M13" s="5" t="s">
        <v>98</v>
      </c>
      <c r="N13" s="5" t="s">
        <v>120</v>
      </c>
      <c r="O13" s="3" t="s">
        <v>121</v>
      </c>
      <c r="P13" s="3" t="s">
        <v>117</v>
      </c>
      <c r="Q13" s="3" t="s">
        <v>33</v>
      </c>
      <c r="R13" s="6"/>
      <c r="S13" s="3"/>
    </row>
    <row r="14" customFormat="false" ht="23.85" hidden="false" customHeight="false" outlineLevel="0" collapsed="false">
      <c r="A14" s="2" t="s">
        <v>19</v>
      </c>
      <c r="B14" s="3" t="s">
        <v>122</v>
      </c>
      <c r="C14" s="3" t="s">
        <v>113</v>
      </c>
      <c r="D14" s="3" t="s">
        <v>123</v>
      </c>
      <c r="E14" s="3" t="s">
        <v>23</v>
      </c>
      <c r="F14" s="3" t="s">
        <v>124</v>
      </c>
      <c r="G14" s="4" t="s">
        <v>125</v>
      </c>
      <c r="H14" s="3" t="s">
        <v>26</v>
      </c>
      <c r="I14" s="3" t="s">
        <v>126</v>
      </c>
      <c r="J14" s="4" t="s">
        <v>127</v>
      </c>
      <c r="K14" s="4" t="s">
        <v>128</v>
      </c>
      <c r="L14" s="5" t="s">
        <v>129</v>
      </c>
      <c r="M14" s="5" t="s">
        <v>41</v>
      </c>
      <c r="N14" s="5" t="s">
        <v>130</v>
      </c>
      <c r="O14" s="3" t="s">
        <v>131</v>
      </c>
      <c r="P14" s="3" t="s">
        <v>127</v>
      </c>
      <c r="Q14" s="3" t="s">
        <v>33</v>
      </c>
      <c r="R14" s="6"/>
      <c r="S14" s="3"/>
    </row>
    <row r="15" customFormat="false" ht="23.85" hidden="false" customHeight="false" outlineLevel="0" collapsed="false">
      <c r="A15" s="2" t="s">
        <v>19</v>
      </c>
      <c r="B15" s="3" t="s">
        <v>132</v>
      </c>
      <c r="C15" s="3" t="s">
        <v>113</v>
      </c>
      <c r="D15" s="3" t="s">
        <v>114</v>
      </c>
      <c r="E15" s="3" t="s">
        <v>23</v>
      </c>
      <c r="F15" s="3" t="s">
        <v>115</v>
      </c>
      <c r="G15" s="4" t="s">
        <v>133</v>
      </c>
      <c r="H15" s="3" t="s">
        <v>26</v>
      </c>
      <c r="I15" s="3" t="s">
        <v>134</v>
      </c>
      <c r="J15" s="4" t="s">
        <v>135</v>
      </c>
      <c r="K15" s="4" t="s">
        <v>136</v>
      </c>
      <c r="L15" s="5" t="s">
        <v>137</v>
      </c>
      <c r="M15" s="5" t="s">
        <v>29</v>
      </c>
      <c r="N15" s="5" t="s">
        <v>120</v>
      </c>
      <c r="O15" s="3" t="s">
        <v>138</v>
      </c>
      <c r="P15" s="3" t="s">
        <v>135</v>
      </c>
      <c r="Q15" s="3" t="s">
        <v>33</v>
      </c>
      <c r="R15" s="6"/>
      <c r="S15" s="3"/>
    </row>
    <row r="16" customFormat="false" ht="23.85" hidden="false" customHeight="false" outlineLevel="0" collapsed="false">
      <c r="A16" s="2" t="s">
        <v>19</v>
      </c>
      <c r="B16" s="3" t="s">
        <v>139</v>
      </c>
      <c r="C16" s="3" t="s">
        <v>113</v>
      </c>
      <c r="D16" s="3" t="s">
        <v>114</v>
      </c>
      <c r="E16" s="3" t="s">
        <v>23</v>
      </c>
      <c r="F16" s="3" t="s">
        <v>115</v>
      </c>
      <c r="G16" s="4" t="s">
        <v>140</v>
      </c>
      <c r="H16" s="3" t="s">
        <v>26</v>
      </c>
      <c r="I16" s="3"/>
      <c r="J16" s="4" t="s">
        <v>141</v>
      </c>
      <c r="K16" s="4" t="s">
        <v>142</v>
      </c>
      <c r="L16" s="5" t="s">
        <v>143</v>
      </c>
      <c r="M16" s="5" t="s">
        <v>98</v>
      </c>
      <c r="N16" s="5" t="s">
        <v>120</v>
      </c>
      <c r="O16" s="3" t="s">
        <v>144</v>
      </c>
      <c r="P16" s="3" t="s">
        <v>141</v>
      </c>
      <c r="Q16" s="3" t="s">
        <v>33</v>
      </c>
      <c r="R16" s="6"/>
      <c r="S16" s="3"/>
    </row>
    <row r="17" customFormat="false" ht="23.85" hidden="false" customHeight="false" outlineLevel="0" collapsed="false">
      <c r="A17" s="2" t="s">
        <v>19</v>
      </c>
      <c r="B17" s="3" t="s">
        <v>145</v>
      </c>
      <c r="C17" s="3" t="s">
        <v>113</v>
      </c>
      <c r="D17" s="3" t="s">
        <v>114</v>
      </c>
      <c r="E17" s="3" t="s">
        <v>23</v>
      </c>
      <c r="F17" s="3" t="s">
        <v>146</v>
      </c>
      <c r="G17" s="4" t="s">
        <v>147</v>
      </c>
      <c r="H17" s="3" t="s">
        <v>26</v>
      </c>
      <c r="I17" s="3" t="s">
        <v>148</v>
      </c>
      <c r="J17" s="4" t="s">
        <v>149</v>
      </c>
      <c r="K17" s="4" t="s">
        <v>150</v>
      </c>
      <c r="L17" s="5" t="s">
        <v>151</v>
      </c>
      <c r="M17" s="5" t="s">
        <v>98</v>
      </c>
      <c r="N17" s="5" t="s">
        <v>120</v>
      </c>
      <c r="O17" s="3" t="s">
        <v>152</v>
      </c>
      <c r="P17" s="3" t="s">
        <v>149</v>
      </c>
      <c r="Q17" s="3" t="s">
        <v>33</v>
      </c>
      <c r="R17" s="6"/>
      <c r="S17" s="3"/>
    </row>
    <row r="18" customFormat="false" ht="23.85" hidden="false" customHeight="false" outlineLevel="0" collapsed="false">
      <c r="A18" s="2" t="s">
        <v>19</v>
      </c>
      <c r="B18" s="3" t="s">
        <v>153</v>
      </c>
      <c r="C18" s="3" t="s">
        <v>113</v>
      </c>
      <c r="D18" s="3" t="s">
        <v>114</v>
      </c>
      <c r="E18" s="3" t="s">
        <v>23</v>
      </c>
      <c r="F18" s="3" t="s">
        <v>154</v>
      </c>
      <c r="G18" s="4" t="s">
        <v>155</v>
      </c>
      <c r="H18" s="3" t="s">
        <v>26</v>
      </c>
      <c r="I18" s="3"/>
      <c r="J18" s="4" t="s">
        <v>156</v>
      </c>
      <c r="K18" s="4" t="s">
        <v>157</v>
      </c>
      <c r="L18" s="5" t="s">
        <v>158</v>
      </c>
      <c r="M18" s="5" t="s">
        <v>98</v>
      </c>
      <c r="N18" s="5" t="s">
        <v>120</v>
      </c>
      <c r="O18" s="3" t="s">
        <v>159</v>
      </c>
      <c r="P18" s="3" t="s">
        <v>160</v>
      </c>
      <c r="Q18" s="3" t="s">
        <v>33</v>
      </c>
      <c r="R18" s="6"/>
      <c r="S18" s="3"/>
    </row>
    <row r="19" customFormat="false" ht="23.85" hidden="false" customHeight="false" outlineLevel="0" collapsed="false">
      <c r="A19" s="2" t="s">
        <v>19</v>
      </c>
      <c r="B19" s="3" t="s">
        <v>161</v>
      </c>
      <c r="C19" s="3" t="s">
        <v>113</v>
      </c>
      <c r="D19" s="3" t="s">
        <v>114</v>
      </c>
      <c r="E19" s="3" t="s">
        <v>23</v>
      </c>
      <c r="F19" s="3" t="s">
        <v>115</v>
      </c>
      <c r="G19" s="4" t="s">
        <v>162</v>
      </c>
      <c r="H19" s="3" t="s">
        <v>26</v>
      </c>
      <c r="I19" s="3" t="s">
        <v>163</v>
      </c>
      <c r="J19" s="4" t="s">
        <v>164</v>
      </c>
      <c r="K19" s="4" t="s">
        <v>165</v>
      </c>
      <c r="L19" s="5" t="s">
        <v>166</v>
      </c>
      <c r="M19" s="5" t="s">
        <v>98</v>
      </c>
      <c r="N19" s="5" t="s">
        <v>120</v>
      </c>
      <c r="O19" s="3" t="s">
        <v>167</v>
      </c>
      <c r="P19" s="3" t="s">
        <v>164</v>
      </c>
      <c r="Q19" s="3" t="s">
        <v>33</v>
      </c>
      <c r="R19" s="6"/>
      <c r="S19" s="3"/>
    </row>
    <row r="20" customFormat="false" ht="23.85" hidden="false" customHeight="false" outlineLevel="0" collapsed="false">
      <c r="A20" s="2" t="s">
        <v>19</v>
      </c>
      <c r="B20" s="3" t="s">
        <v>168</v>
      </c>
      <c r="C20" s="3" t="s">
        <v>113</v>
      </c>
      <c r="D20" s="3" t="s">
        <v>123</v>
      </c>
      <c r="E20" s="3" t="s">
        <v>23</v>
      </c>
      <c r="F20" s="3" t="s">
        <v>154</v>
      </c>
      <c r="G20" s="4" t="s">
        <v>169</v>
      </c>
      <c r="H20" s="3" t="s">
        <v>26</v>
      </c>
      <c r="I20" s="3" t="s">
        <v>170</v>
      </c>
      <c r="J20" s="4" t="s">
        <v>171</v>
      </c>
      <c r="K20" s="3"/>
      <c r="L20" s="5" t="s">
        <v>172</v>
      </c>
      <c r="M20" s="5" t="s">
        <v>41</v>
      </c>
      <c r="N20" s="5" t="s">
        <v>130</v>
      </c>
      <c r="O20" s="3" t="s">
        <v>173</v>
      </c>
      <c r="P20" s="3" t="s">
        <v>174</v>
      </c>
      <c r="Q20" s="3" t="s">
        <v>33</v>
      </c>
      <c r="R20" s="6"/>
      <c r="S20" s="3"/>
    </row>
    <row r="21" customFormat="false" ht="23.85" hidden="false" customHeight="false" outlineLevel="0" collapsed="false">
      <c r="A21" s="2" t="s">
        <v>19</v>
      </c>
      <c r="B21" s="3" t="s">
        <v>175</v>
      </c>
      <c r="C21" s="3" t="s">
        <v>113</v>
      </c>
      <c r="D21" s="3" t="s">
        <v>114</v>
      </c>
      <c r="E21" s="3" t="s">
        <v>23</v>
      </c>
      <c r="F21" s="3" t="s">
        <v>115</v>
      </c>
      <c r="G21" s="4" t="s">
        <v>176</v>
      </c>
      <c r="H21" s="3" t="s">
        <v>26</v>
      </c>
      <c r="I21" s="3" t="s">
        <v>177</v>
      </c>
      <c r="J21" s="4" t="s">
        <v>178</v>
      </c>
      <c r="K21" s="4" t="s">
        <v>179</v>
      </c>
      <c r="L21" s="5" t="s">
        <v>180</v>
      </c>
      <c r="M21" s="5" t="s">
        <v>98</v>
      </c>
      <c r="N21" s="5" t="s">
        <v>120</v>
      </c>
      <c r="O21" s="3" t="s">
        <v>181</v>
      </c>
      <c r="P21" s="3" t="s">
        <v>178</v>
      </c>
      <c r="Q21" s="3" t="s">
        <v>33</v>
      </c>
      <c r="R21" s="6"/>
      <c r="S21" s="3"/>
    </row>
    <row r="22" customFormat="false" ht="23.85" hidden="false" customHeight="false" outlineLevel="0" collapsed="false">
      <c r="A22" s="2" t="s">
        <v>19</v>
      </c>
      <c r="B22" s="3" t="s">
        <v>182</v>
      </c>
      <c r="C22" s="3" t="s">
        <v>113</v>
      </c>
      <c r="D22" s="3" t="s">
        <v>114</v>
      </c>
      <c r="E22" s="3" t="s">
        <v>23</v>
      </c>
      <c r="F22" s="3" t="s">
        <v>24</v>
      </c>
      <c r="G22" s="4" t="s">
        <v>183</v>
      </c>
      <c r="H22" s="3" t="s">
        <v>26</v>
      </c>
      <c r="I22" s="3" t="s">
        <v>184</v>
      </c>
      <c r="J22" s="4" t="s">
        <v>185</v>
      </c>
      <c r="K22" s="4" t="s">
        <v>186</v>
      </c>
      <c r="L22" s="5" t="s">
        <v>187</v>
      </c>
      <c r="M22" s="5" t="s">
        <v>98</v>
      </c>
      <c r="N22" s="5" t="s">
        <v>120</v>
      </c>
      <c r="O22" s="3" t="s">
        <v>188</v>
      </c>
      <c r="P22" s="3" t="s">
        <v>185</v>
      </c>
      <c r="Q22" s="3" t="s">
        <v>33</v>
      </c>
      <c r="R22" s="6"/>
      <c r="S22" s="3"/>
    </row>
    <row r="23" customFormat="false" ht="23.85" hidden="false" customHeight="false" outlineLevel="0" collapsed="false">
      <c r="A23" s="2" t="s">
        <v>19</v>
      </c>
      <c r="B23" s="3" t="s">
        <v>189</v>
      </c>
      <c r="C23" s="3" t="s">
        <v>113</v>
      </c>
      <c r="D23" s="3" t="s">
        <v>114</v>
      </c>
      <c r="E23" s="3" t="s">
        <v>23</v>
      </c>
      <c r="F23" s="3" t="s">
        <v>115</v>
      </c>
      <c r="G23" s="4" t="s">
        <v>190</v>
      </c>
      <c r="H23" s="3" t="s">
        <v>26</v>
      </c>
      <c r="I23" s="3" t="s">
        <v>191</v>
      </c>
      <c r="J23" s="4" t="s">
        <v>192</v>
      </c>
      <c r="K23" s="4" t="s">
        <v>193</v>
      </c>
      <c r="L23" s="5" t="s">
        <v>194</v>
      </c>
      <c r="M23" s="5" t="s">
        <v>98</v>
      </c>
      <c r="N23" s="5" t="s">
        <v>120</v>
      </c>
      <c r="O23" s="3" t="s">
        <v>195</v>
      </c>
      <c r="P23" s="3" t="s">
        <v>192</v>
      </c>
      <c r="Q23" s="3" t="s">
        <v>33</v>
      </c>
      <c r="R23" s="6"/>
      <c r="S23" s="3"/>
    </row>
    <row r="24" customFormat="false" ht="23.85" hidden="false" customHeight="false" outlineLevel="0" collapsed="false">
      <c r="A24" s="2" t="s">
        <v>19</v>
      </c>
      <c r="B24" s="3" t="s">
        <v>196</v>
      </c>
      <c r="C24" s="3" t="s">
        <v>113</v>
      </c>
      <c r="D24" s="3" t="s">
        <v>114</v>
      </c>
      <c r="E24" s="3" t="s">
        <v>23</v>
      </c>
      <c r="F24" s="3" t="s">
        <v>24</v>
      </c>
      <c r="G24" s="4" t="s">
        <v>197</v>
      </c>
      <c r="H24" s="3" t="s">
        <v>26</v>
      </c>
      <c r="I24" s="3" t="s">
        <v>198</v>
      </c>
      <c r="J24" s="4" t="s">
        <v>199</v>
      </c>
      <c r="K24" s="3"/>
      <c r="L24" s="5" t="s">
        <v>200</v>
      </c>
      <c r="M24" s="5" t="s">
        <v>98</v>
      </c>
      <c r="N24" s="5" t="s">
        <v>120</v>
      </c>
      <c r="O24" s="3" t="s">
        <v>201</v>
      </c>
      <c r="P24" s="3" t="s">
        <v>199</v>
      </c>
      <c r="Q24" s="3" t="s">
        <v>33</v>
      </c>
      <c r="R24" s="6"/>
      <c r="S24" s="3"/>
    </row>
    <row r="25" customFormat="false" ht="23.85" hidden="false" customHeight="false" outlineLevel="0" collapsed="false">
      <c r="A25" s="2" t="s">
        <v>19</v>
      </c>
      <c r="B25" s="3" t="s">
        <v>202</v>
      </c>
      <c r="C25" s="3" t="s">
        <v>113</v>
      </c>
      <c r="D25" s="3" t="s">
        <v>203</v>
      </c>
      <c r="E25" s="3" t="s">
        <v>23</v>
      </c>
      <c r="F25" s="3" t="s">
        <v>24</v>
      </c>
      <c r="G25" s="4" t="s">
        <v>204</v>
      </c>
      <c r="H25" s="3" t="s">
        <v>26</v>
      </c>
      <c r="I25" s="3" t="s">
        <v>205</v>
      </c>
      <c r="J25" s="4" t="s">
        <v>206</v>
      </c>
      <c r="K25" s="3"/>
      <c r="L25" s="5" t="s">
        <v>207</v>
      </c>
      <c r="M25" s="5" t="s">
        <v>208</v>
      </c>
      <c r="N25" s="5" t="s">
        <v>209</v>
      </c>
      <c r="O25" s="3" t="s">
        <v>210</v>
      </c>
      <c r="P25" s="3" t="s">
        <v>206</v>
      </c>
      <c r="Q25" s="3" t="s">
        <v>33</v>
      </c>
      <c r="R25" s="6"/>
      <c r="S25" s="3"/>
    </row>
    <row r="26" customFormat="false" ht="23.85" hidden="false" customHeight="false" outlineLevel="0" collapsed="false">
      <c r="A26" s="2" t="s">
        <v>19</v>
      </c>
      <c r="B26" s="3" t="s">
        <v>211</v>
      </c>
      <c r="C26" s="3" t="s">
        <v>113</v>
      </c>
      <c r="D26" s="3" t="s">
        <v>114</v>
      </c>
      <c r="E26" s="3" t="s">
        <v>23</v>
      </c>
      <c r="F26" s="3" t="s">
        <v>212</v>
      </c>
      <c r="G26" s="4" t="s">
        <v>213</v>
      </c>
      <c r="H26" s="3" t="s">
        <v>26</v>
      </c>
      <c r="I26" s="3" t="s">
        <v>214</v>
      </c>
      <c r="J26" s="4" t="s">
        <v>215</v>
      </c>
      <c r="K26" s="4" t="s">
        <v>216</v>
      </c>
      <c r="L26" s="5" t="s">
        <v>217</v>
      </c>
      <c r="M26" s="5" t="s">
        <v>29</v>
      </c>
      <c r="N26" s="5" t="s">
        <v>120</v>
      </c>
      <c r="O26" s="3" t="s">
        <v>218</v>
      </c>
      <c r="P26" s="3" t="s">
        <v>219</v>
      </c>
      <c r="Q26" s="3" t="s">
        <v>33</v>
      </c>
      <c r="R26" s="6"/>
      <c r="S26" s="3"/>
    </row>
    <row r="27" customFormat="false" ht="23.85" hidden="false" customHeight="false" outlineLevel="0" collapsed="false">
      <c r="A27" s="2" t="s">
        <v>19</v>
      </c>
      <c r="B27" s="3" t="s">
        <v>220</v>
      </c>
      <c r="C27" s="3" t="s">
        <v>113</v>
      </c>
      <c r="D27" s="3" t="s">
        <v>114</v>
      </c>
      <c r="E27" s="3" t="s">
        <v>23</v>
      </c>
      <c r="F27" s="3" t="s">
        <v>24</v>
      </c>
      <c r="G27" s="4" t="s">
        <v>221</v>
      </c>
      <c r="H27" s="3" t="s">
        <v>26</v>
      </c>
      <c r="I27" s="3" t="s">
        <v>222</v>
      </c>
      <c r="J27" s="4" t="s">
        <v>223</v>
      </c>
      <c r="K27" s="4" t="s">
        <v>224</v>
      </c>
      <c r="L27" s="5" t="s">
        <v>225</v>
      </c>
      <c r="M27" s="5" t="s">
        <v>98</v>
      </c>
      <c r="N27" s="5" t="s">
        <v>120</v>
      </c>
      <c r="O27" s="3" t="s">
        <v>226</v>
      </c>
      <c r="P27" s="3" t="s">
        <v>223</v>
      </c>
      <c r="Q27" s="3" t="s">
        <v>33</v>
      </c>
      <c r="R27" s="6"/>
      <c r="S27" s="3"/>
    </row>
    <row r="28" customFormat="false" ht="23.85" hidden="false" customHeight="false" outlineLevel="0" collapsed="false">
      <c r="A28" s="2" t="s">
        <v>19</v>
      </c>
      <c r="B28" s="3" t="s">
        <v>227</v>
      </c>
      <c r="C28" s="3" t="s">
        <v>21</v>
      </c>
      <c r="D28" s="3" t="s">
        <v>60</v>
      </c>
      <c r="E28" s="3" t="s">
        <v>228</v>
      </c>
      <c r="F28" s="3"/>
      <c r="G28" s="4" t="s">
        <v>229</v>
      </c>
      <c r="H28" s="3" t="s">
        <v>26</v>
      </c>
      <c r="I28" s="3" t="s">
        <v>230</v>
      </c>
      <c r="J28" s="4" t="s">
        <v>231</v>
      </c>
      <c r="K28" s="3"/>
      <c r="L28" s="5" t="s">
        <v>232</v>
      </c>
      <c r="M28" s="5" t="s">
        <v>41</v>
      </c>
      <c r="N28" s="5" t="s">
        <v>67</v>
      </c>
      <c r="O28" s="3" t="s">
        <v>233</v>
      </c>
      <c r="P28" s="3" t="s">
        <v>234</v>
      </c>
      <c r="Q28" s="3" t="s">
        <v>33</v>
      </c>
      <c r="R28" s="6"/>
      <c r="S28" s="3"/>
    </row>
    <row r="29" customFormat="false" ht="23.85" hidden="false" customHeight="false" outlineLevel="0" collapsed="false">
      <c r="A29" s="2" t="s">
        <v>19</v>
      </c>
      <c r="B29" s="3" t="s">
        <v>235</v>
      </c>
      <c r="C29" s="3" t="s">
        <v>21</v>
      </c>
      <c r="D29" s="3" t="s">
        <v>22</v>
      </c>
      <c r="E29" s="3" t="s">
        <v>236</v>
      </c>
      <c r="F29" s="3" t="s">
        <v>237</v>
      </c>
      <c r="G29" s="4" t="s">
        <v>238</v>
      </c>
      <c r="H29" s="3" t="s">
        <v>26</v>
      </c>
      <c r="I29" s="3" t="s">
        <v>239</v>
      </c>
      <c r="J29" s="4" t="s">
        <v>240</v>
      </c>
      <c r="K29" s="4" t="s">
        <v>241</v>
      </c>
      <c r="L29" s="5" t="s">
        <v>242</v>
      </c>
      <c r="M29" s="5" t="s">
        <v>29</v>
      </c>
      <c r="N29" s="5" t="s">
        <v>30</v>
      </c>
      <c r="O29" s="3" t="s">
        <v>243</v>
      </c>
      <c r="P29" s="3" t="s">
        <v>240</v>
      </c>
      <c r="Q29" s="3" t="s">
        <v>33</v>
      </c>
      <c r="R29" s="6"/>
      <c r="S29" s="3"/>
    </row>
    <row r="30" customFormat="false" ht="23.85" hidden="false" customHeight="false" outlineLevel="0" collapsed="false">
      <c r="A30" s="2" t="s">
        <v>19</v>
      </c>
      <c r="B30" s="3" t="s">
        <v>244</v>
      </c>
      <c r="C30" s="3" t="s">
        <v>21</v>
      </c>
      <c r="D30" s="3" t="s">
        <v>70</v>
      </c>
      <c r="E30" s="3" t="s">
        <v>245</v>
      </c>
      <c r="F30" s="3" t="s">
        <v>246</v>
      </c>
      <c r="G30" s="4" t="s">
        <v>247</v>
      </c>
      <c r="H30" s="3" t="s">
        <v>26</v>
      </c>
      <c r="I30" s="3" t="s">
        <v>248</v>
      </c>
      <c r="J30" s="4" t="s">
        <v>249</v>
      </c>
      <c r="K30" s="4" t="s">
        <v>250</v>
      </c>
      <c r="L30" s="5" t="s">
        <v>251</v>
      </c>
      <c r="M30" s="5" t="s">
        <v>29</v>
      </c>
      <c r="N30" s="5" t="s">
        <v>77</v>
      </c>
      <c r="O30" s="3" t="s">
        <v>252</v>
      </c>
      <c r="P30" s="3" t="s">
        <v>249</v>
      </c>
      <c r="Q30" s="3" t="s">
        <v>33</v>
      </c>
      <c r="R30" s="6"/>
      <c r="S30" s="3"/>
    </row>
    <row r="31" customFormat="false" ht="35.05" hidden="false" customHeight="false" outlineLevel="0" collapsed="false">
      <c r="A31" s="2" t="s">
        <v>19</v>
      </c>
      <c r="B31" s="3" t="s">
        <v>253</v>
      </c>
      <c r="C31" s="3" t="s">
        <v>21</v>
      </c>
      <c r="D31" s="3" t="s">
        <v>22</v>
      </c>
      <c r="E31" s="3" t="s">
        <v>245</v>
      </c>
      <c r="F31" s="3" t="s">
        <v>254</v>
      </c>
      <c r="G31" s="4" t="s">
        <v>255</v>
      </c>
      <c r="H31" s="3" t="s">
        <v>26</v>
      </c>
      <c r="I31" s="3" t="s">
        <v>256</v>
      </c>
      <c r="J31" s="4" t="s">
        <v>257</v>
      </c>
      <c r="K31" s="4" t="s">
        <v>258</v>
      </c>
      <c r="L31" s="5" t="s">
        <v>259</v>
      </c>
      <c r="M31" s="5" t="s">
        <v>260</v>
      </c>
      <c r="N31" s="5" t="s">
        <v>30</v>
      </c>
      <c r="O31" s="3" t="s">
        <v>261</v>
      </c>
      <c r="P31" s="3" t="s">
        <v>257</v>
      </c>
      <c r="Q31" s="3" t="s">
        <v>33</v>
      </c>
      <c r="R31" s="6"/>
      <c r="S31" s="3"/>
    </row>
    <row r="32" customFormat="false" ht="23.85" hidden="false" customHeight="false" outlineLevel="0" collapsed="false">
      <c r="A32" s="2" t="s">
        <v>19</v>
      </c>
      <c r="B32" s="3" t="s">
        <v>262</v>
      </c>
      <c r="C32" s="3" t="s">
        <v>21</v>
      </c>
      <c r="D32" s="3" t="s">
        <v>70</v>
      </c>
      <c r="E32" s="3" t="s">
        <v>228</v>
      </c>
      <c r="F32" s="3" t="s">
        <v>263</v>
      </c>
      <c r="G32" s="4" t="s">
        <v>264</v>
      </c>
      <c r="H32" s="3" t="s">
        <v>26</v>
      </c>
      <c r="I32" s="3" t="s">
        <v>265</v>
      </c>
      <c r="J32" s="4" t="s">
        <v>266</v>
      </c>
      <c r="K32" s="3"/>
      <c r="L32" s="5" t="s">
        <v>267</v>
      </c>
      <c r="M32" s="5" t="s">
        <v>98</v>
      </c>
      <c r="N32" s="5" t="s">
        <v>77</v>
      </c>
      <c r="O32" s="3" t="s">
        <v>268</v>
      </c>
      <c r="P32" s="3" t="s">
        <v>269</v>
      </c>
      <c r="Q32" s="3" t="s">
        <v>33</v>
      </c>
      <c r="R32" s="6"/>
      <c r="S32" s="3"/>
    </row>
    <row r="33" customFormat="false" ht="23.85" hidden="false" customHeight="false" outlineLevel="0" collapsed="false">
      <c r="A33" s="2" t="s">
        <v>19</v>
      </c>
      <c r="B33" s="3" t="s">
        <v>270</v>
      </c>
      <c r="C33" s="3" t="s">
        <v>21</v>
      </c>
      <c r="D33" s="3" t="s">
        <v>22</v>
      </c>
      <c r="E33" s="3" t="s">
        <v>245</v>
      </c>
      <c r="F33" s="3" t="s">
        <v>271</v>
      </c>
      <c r="G33" s="4" t="s">
        <v>272</v>
      </c>
      <c r="H33" s="3" t="s">
        <v>26</v>
      </c>
      <c r="I33" s="3" t="s">
        <v>273</v>
      </c>
      <c r="J33" s="4" t="s">
        <v>274</v>
      </c>
      <c r="K33" s="4" t="s">
        <v>275</v>
      </c>
      <c r="L33" s="5" t="s">
        <v>276</v>
      </c>
      <c r="M33" s="5" t="s">
        <v>29</v>
      </c>
      <c r="N33" s="5" t="s">
        <v>30</v>
      </c>
      <c r="O33" s="3" t="s">
        <v>277</v>
      </c>
      <c r="P33" s="3" t="s">
        <v>274</v>
      </c>
      <c r="Q33" s="3" t="s">
        <v>33</v>
      </c>
      <c r="R33" s="6"/>
      <c r="S33" s="3"/>
    </row>
    <row r="34" customFormat="false" ht="23.85" hidden="false" customHeight="false" outlineLevel="0" collapsed="false">
      <c r="A34" s="2" t="s">
        <v>19</v>
      </c>
      <c r="B34" s="3" t="s">
        <v>278</v>
      </c>
      <c r="C34" s="3" t="s">
        <v>21</v>
      </c>
      <c r="D34" s="3" t="s">
        <v>60</v>
      </c>
      <c r="E34" s="3" t="s">
        <v>279</v>
      </c>
      <c r="F34" s="3" t="s">
        <v>280</v>
      </c>
      <c r="G34" s="4" t="s">
        <v>281</v>
      </c>
      <c r="H34" s="3" t="s">
        <v>62</v>
      </c>
      <c r="I34" s="3" t="s">
        <v>282</v>
      </c>
      <c r="J34" s="4" t="s">
        <v>283</v>
      </c>
      <c r="K34" s="3"/>
      <c r="L34" s="5" t="s">
        <v>284</v>
      </c>
      <c r="M34" s="5" t="s">
        <v>41</v>
      </c>
      <c r="N34" s="5" t="s">
        <v>67</v>
      </c>
      <c r="O34" s="3" t="s">
        <v>285</v>
      </c>
      <c r="P34" s="3" t="s">
        <v>283</v>
      </c>
      <c r="Q34" s="3" t="s">
        <v>33</v>
      </c>
      <c r="R34" s="6"/>
      <c r="S34" s="3"/>
    </row>
    <row r="35" customFormat="false" ht="23.85" hidden="false" customHeight="false" outlineLevel="0" collapsed="false">
      <c r="A35" s="2" t="s">
        <v>19</v>
      </c>
      <c r="B35" s="3" t="s">
        <v>286</v>
      </c>
      <c r="C35" s="3" t="s">
        <v>21</v>
      </c>
      <c r="D35" s="3" t="s">
        <v>22</v>
      </c>
      <c r="E35" s="3" t="s">
        <v>287</v>
      </c>
      <c r="F35" s="3"/>
      <c r="G35" s="4" t="s">
        <v>288</v>
      </c>
      <c r="H35" s="3" t="s">
        <v>26</v>
      </c>
      <c r="I35" s="3"/>
      <c r="J35" s="4" t="s">
        <v>289</v>
      </c>
      <c r="K35" s="4" t="s">
        <v>290</v>
      </c>
      <c r="L35" s="5" t="s">
        <v>291</v>
      </c>
      <c r="M35" s="5" t="s">
        <v>29</v>
      </c>
      <c r="N35" s="5" t="s">
        <v>30</v>
      </c>
      <c r="O35" s="3" t="s">
        <v>292</v>
      </c>
      <c r="P35" s="3" t="s">
        <v>293</v>
      </c>
      <c r="Q35" s="3" t="s">
        <v>33</v>
      </c>
      <c r="R35" s="6"/>
      <c r="S35" s="3"/>
    </row>
    <row r="36" customFormat="false" ht="23.85" hidden="false" customHeight="false" outlineLevel="0" collapsed="false">
      <c r="A36" s="2" t="s">
        <v>19</v>
      </c>
      <c r="B36" s="3" t="s">
        <v>294</v>
      </c>
      <c r="C36" s="3" t="s">
        <v>21</v>
      </c>
      <c r="D36" s="3" t="s">
        <v>60</v>
      </c>
      <c r="E36" s="3" t="s">
        <v>228</v>
      </c>
      <c r="F36" s="3" t="s">
        <v>263</v>
      </c>
      <c r="G36" s="4" t="s">
        <v>295</v>
      </c>
      <c r="H36" s="3" t="s">
        <v>26</v>
      </c>
      <c r="I36" s="3" t="s">
        <v>296</v>
      </c>
      <c r="J36" s="4" t="s">
        <v>297</v>
      </c>
      <c r="K36" s="3"/>
      <c r="L36" s="5" t="s">
        <v>298</v>
      </c>
      <c r="M36" s="5" t="s">
        <v>41</v>
      </c>
      <c r="N36" s="5" t="s">
        <v>67</v>
      </c>
      <c r="O36" s="3" t="s">
        <v>299</v>
      </c>
      <c r="P36" s="3" t="s">
        <v>297</v>
      </c>
      <c r="Q36" s="3" t="s">
        <v>33</v>
      </c>
      <c r="R36" s="6"/>
      <c r="S36" s="3"/>
    </row>
    <row r="37" customFormat="false" ht="23.85" hidden="false" customHeight="false" outlineLevel="0" collapsed="false">
      <c r="A37" s="2" t="s">
        <v>19</v>
      </c>
      <c r="B37" s="3" t="s">
        <v>300</v>
      </c>
      <c r="C37" s="3" t="s">
        <v>21</v>
      </c>
      <c r="D37" s="3" t="s">
        <v>70</v>
      </c>
      <c r="E37" s="3" t="s">
        <v>245</v>
      </c>
      <c r="F37" s="3" t="s">
        <v>301</v>
      </c>
      <c r="G37" s="4" t="s">
        <v>302</v>
      </c>
      <c r="H37" s="3" t="s">
        <v>26</v>
      </c>
      <c r="I37" s="3" t="s">
        <v>303</v>
      </c>
      <c r="J37" s="4" t="s">
        <v>304</v>
      </c>
      <c r="K37" s="3"/>
      <c r="L37" s="5" t="s">
        <v>305</v>
      </c>
      <c r="M37" s="5" t="s">
        <v>29</v>
      </c>
      <c r="N37" s="5" t="s">
        <v>77</v>
      </c>
      <c r="O37" s="3" t="s">
        <v>306</v>
      </c>
      <c r="P37" s="3" t="s">
        <v>304</v>
      </c>
      <c r="Q37" s="3" t="s">
        <v>33</v>
      </c>
      <c r="R37" s="6"/>
      <c r="S37" s="3"/>
    </row>
    <row r="38" customFormat="false" ht="23.85" hidden="false" customHeight="false" outlineLevel="0" collapsed="false">
      <c r="A38" s="2" t="s">
        <v>19</v>
      </c>
      <c r="B38" s="3" t="s">
        <v>307</v>
      </c>
      <c r="C38" s="3" t="s">
        <v>21</v>
      </c>
      <c r="D38" s="3" t="s">
        <v>70</v>
      </c>
      <c r="E38" s="3" t="s">
        <v>245</v>
      </c>
      <c r="F38" s="3"/>
      <c r="G38" s="4" t="s">
        <v>308</v>
      </c>
      <c r="H38" s="3" t="s">
        <v>26</v>
      </c>
      <c r="I38" s="3" t="s">
        <v>309</v>
      </c>
      <c r="J38" s="4" t="s">
        <v>310</v>
      </c>
      <c r="K38" s="3"/>
      <c r="L38" s="5" t="s">
        <v>311</v>
      </c>
      <c r="M38" s="5" t="s">
        <v>98</v>
      </c>
      <c r="N38" s="5" t="s">
        <v>77</v>
      </c>
      <c r="O38" s="3" t="s">
        <v>312</v>
      </c>
      <c r="P38" s="3" t="s">
        <v>313</v>
      </c>
      <c r="Q38" s="3" t="s">
        <v>33</v>
      </c>
      <c r="R38" s="6"/>
      <c r="S38" s="3"/>
    </row>
    <row r="39" customFormat="false" ht="35.05" hidden="false" customHeight="false" outlineLevel="0" collapsed="false">
      <c r="A39" s="2" t="s">
        <v>19</v>
      </c>
      <c r="B39" s="3" t="s">
        <v>314</v>
      </c>
      <c r="C39" s="3" t="s">
        <v>21</v>
      </c>
      <c r="D39" s="3" t="s">
        <v>52</v>
      </c>
      <c r="E39" s="3" t="s">
        <v>245</v>
      </c>
      <c r="F39" s="3" t="s">
        <v>254</v>
      </c>
      <c r="G39" s="4" t="s">
        <v>315</v>
      </c>
      <c r="H39" s="3" t="s">
        <v>26</v>
      </c>
      <c r="I39" s="3" t="s">
        <v>316</v>
      </c>
      <c r="J39" s="4" t="s">
        <v>317</v>
      </c>
      <c r="K39" s="3"/>
      <c r="L39" s="5" t="s">
        <v>318</v>
      </c>
      <c r="M39" s="5" t="s">
        <v>319</v>
      </c>
      <c r="N39" s="5" t="s">
        <v>56</v>
      </c>
      <c r="O39" s="3" t="s">
        <v>320</v>
      </c>
      <c r="P39" s="3" t="s">
        <v>317</v>
      </c>
      <c r="Q39" s="3" t="s">
        <v>33</v>
      </c>
      <c r="R39" s="6"/>
      <c r="S39" s="3"/>
    </row>
    <row r="40" customFormat="false" ht="23.85" hidden="false" customHeight="false" outlineLevel="0" collapsed="false">
      <c r="A40" s="2" t="s">
        <v>19</v>
      </c>
      <c r="B40" s="3" t="s">
        <v>321</v>
      </c>
      <c r="C40" s="3" t="s">
        <v>113</v>
      </c>
      <c r="D40" s="3" t="s">
        <v>114</v>
      </c>
      <c r="E40" s="3" t="s">
        <v>322</v>
      </c>
      <c r="F40" s="3"/>
      <c r="G40" s="4" t="s">
        <v>323</v>
      </c>
      <c r="H40" s="3" t="s">
        <v>26</v>
      </c>
      <c r="I40" s="3" t="s">
        <v>324</v>
      </c>
      <c r="J40" s="4" t="s">
        <v>325</v>
      </c>
      <c r="K40" s="4" t="s">
        <v>326</v>
      </c>
      <c r="L40" s="5" t="s">
        <v>327</v>
      </c>
      <c r="M40" s="5" t="s">
        <v>29</v>
      </c>
      <c r="N40" s="5" t="s">
        <v>120</v>
      </c>
      <c r="O40" s="3" t="s">
        <v>328</v>
      </c>
      <c r="P40" s="3" t="s">
        <v>325</v>
      </c>
      <c r="Q40" s="3" t="s">
        <v>33</v>
      </c>
      <c r="R40" s="6"/>
      <c r="S40" s="3"/>
    </row>
    <row r="41" customFormat="false" ht="23.85" hidden="false" customHeight="false" outlineLevel="0" collapsed="false">
      <c r="A41" s="2" t="s">
        <v>19</v>
      </c>
      <c r="B41" s="3" t="s">
        <v>329</v>
      </c>
      <c r="C41" s="3" t="s">
        <v>113</v>
      </c>
      <c r="D41" s="3" t="s">
        <v>330</v>
      </c>
      <c r="E41" s="3" t="s">
        <v>279</v>
      </c>
      <c r="F41" s="3" t="s">
        <v>280</v>
      </c>
      <c r="G41" s="4" t="s">
        <v>331</v>
      </c>
      <c r="H41" s="3" t="s">
        <v>26</v>
      </c>
      <c r="I41" s="3" t="s">
        <v>332</v>
      </c>
      <c r="J41" s="4" t="s">
        <v>333</v>
      </c>
      <c r="K41" s="4" t="s">
        <v>334</v>
      </c>
      <c r="L41" s="5" t="s">
        <v>335</v>
      </c>
      <c r="M41" s="5" t="s">
        <v>336</v>
      </c>
      <c r="N41" s="5" t="s">
        <v>337</v>
      </c>
      <c r="O41" s="3" t="s">
        <v>338</v>
      </c>
      <c r="P41" s="3" t="s">
        <v>333</v>
      </c>
      <c r="Q41" s="3" t="s">
        <v>33</v>
      </c>
      <c r="R41" s="6"/>
      <c r="S41" s="3"/>
    </row>
    <row r="42" customFormat="false" ht="23.85" hidden="false" customHeight="false" outlineLevel="0" collapsed="false">
      <c r="A42" s="2" t="s">
        <v>19</v>
      </c>
      <c r="B42" s="3" t="s">
        <v>339</v>
      </c>
      <c r="C42" s="3" t="s">
        <v>113</v>
      </c>
      <c r="D42" s="3" t="s">
        <v>123</v>
      </c>
      <c r="E42" s="3" t="s">
        <v>245</v>
      </c>
      <c r="F42" s="3" t="s">
        <v>254</v>
      </c>
      <c r="G42" s="4" t="s">
        <v>340</v>
      </c>
      <c r="H42" s="3" t="s">
        <v>26</v>
      </c>
      <c r="I42" s="3" t="s">
        <v>341</v>
      </c>
      <c r="J42" s="4" t="s">
        <v>342</v>
      </c>
      <c r="K42" s="4" t="s">
        <v>343</v>
      </c>
      <c r="L42" s="5" t="s">
        <v>344</v>
      </c>
      <c r="M42" s="5" t="s">
        <v>41</v>
      </c>
      <c r="N42" s="5" t="s">
        <v>130</v>
      </c>
      <c r="O42" s="3" t="s">
        <v>345</v>
      </c>
      <c r="P42" s="3" t="s">
        <v>342</v>
      </c>
      <c r="Q42" s="3" t="s">
        <v>33</v>
      </c>
      <c r="R42" s="6"/>
      <c r="S42" s="3"/>
    </row>
    <row r="43" customFormat="false" ht="23.85" hidden="false" customHeight="false" outlineLevel="0" collapsed="false">
      <c r="A43" s="2" t="s">
        <v>19</v>
      </c>
      <c r="B43" s="3" t="s">
        <v>346</v>
      </c>
      <c r="C43" s="3" t="s">
        <v>113</v>
      </c>
      <c r="D43" s="3" t="s">
        <v>114</v>
      </c>
      <c r="E43" s="3" t="s">
        <v>236</v>
      </c>
      <c r="F43" s="3" t="s">
        <v>237</v>
      </c>
      <c r="G43" s="4" t="s">
        <v>347</v>
      </c>
      <c r="H43" s="3" t="s">
        <v>26</v>
      </c>
      <c r="I43" s="3" t="s">
        <v>348</v>
      </c>
      <c r="J43" s="4" t="s">
        <v>349</v>
      </c>
      <c r="K43" s="4" t="s">
        <v>350</v>
      </c>
      <c r="L43" s="5" t="s">
        <v>351</v>
      </c>
      <c r="M43" s="5" t="s">
        <v>29</v>
      </c>
      <c r="N43" s="5" t="s">
        <v>120</v>
      </c>
      <c r="O43" s="3" t="s">
        <v>352</v>
      </c>
      <c r="P43" s="3" t="s">
        <v>349</v>
      </c>
      <c r="Q43" s="3" t="s">
        <v>33</v>
      </c>
      <c r="R43" s="6"/>
      <c r="S43" s="3"/>
    </row>
    <row r="44" customFormat="false" ht="23.85" hidden="false" customHeight="false" outlineLevel="0" collapsed="false">
      <c r="A44" s="2" t="s">
        <v>19</v>
      </c>
      <c r="B44" s="3" t="s">
        <v>353</v>
      </c>
      <c r="C44" s="3" t="s">
        <v>113</v>
      </c>
      <c r="D44" s="3" t="s">
        <v>330</v>
      </c>
      <c r="E44" s="3" t="s">
        <v>279</v>
      </c>
      <c r="F44" s="3" t="s">
        <v>280</v>
      </c>
      <c r="G44" s="4" t="s">
        <v>354</v>
      </c>
      <c r="H44" s="3" t="s">
        <v>26</v>
      </c>
      <c r="I44" s="3" t="s">
        <v>355</v>
      </c>
      <c r="J44" s="4" t="s">
        <v>356</v>
      </c>
      <c r="K44" s="3"/>
      <c r="L44" s="5" t="s">
        <v>357</v>
      </c>
      <c r="M44" s="5" t="s">
        <v>358</v>
      </c>
      <c r="N44" s="5" t="s">
        <v>337</v>
      </c>
      <c r="O44" s="3" t="s">
        <v>359</v>
      </c>
      <c r="P44" s="3" t="s">
        <v>356</v>
      </c>
      <c r="Q44" s="3" t="s">
        <v>33</v>
      </c>
      <c r="R44" s="6"/>
      <c r="S44" s="3"/>
    </row>
    <row r="45" customFormat="false" ht="23.85" hidden="false" customHeight="false" outlineLevel="0" collapsed="false">
      <c r="A45" s="2" t="s">
        <v>19</v>
      </c>
      <c r="B45" s="3" t="s">
        <v>360</v>
      </c>
      <c r="C45" s="3" t="s">
        <v>113</v>
      </c>
      <c r="D45" s="3" t="s">
        <v>330</v>
      </c>
      <c r="E45" s="3" t="s">
        <v>245</v>
      </c>
      <c r="F45" s="3" t="s">
        <v>254</v>
      </c>
      <c r="G45" s="4" t="s">
        <v>361</v>
      </c>
      <c r="H45" s="3" t="s">
        <v>26</v>
      </c>
      <c r="I45" s="3" t="s">
        <v>362</v>
      </c>
      <c r="J45" s="4" t="s">
        <v>363</v>
      </c>
      <c r="K45" s="4" t="s">
        <v>364</v>
      </c>
      <c r="L45" s="5" t="s">
        <v>365</v>
      </c>
      <c r="M45" s="5" t="s">
        <v>366</v>
      </c>
      <c r="N45" s="5" t="s">
        <v>337</v>
      </c>
      <c r="O45" s="3" t="s">
        <v>367</v>
      </c>
      <c r="P45" s="3" t="s">
        <v>363</v>
      </c>
      <c r="Q45" s="3" t="s">
        <v>33</v>
      </c>
      <c r="R45" s="6"/>
      <c r="S45" s="3"/>
    </row>
    <row r="46" customFormat="false" ht="23.85" hidden="false" customHeight="false" outlineLevel="0" collapsed="false">
      <c r="A46" s="2" t="s">
        <v>19</v>
      </c>
      <c r="B46" s="3" t="s">
        <v>368</v>
      </c>
      <c r="C46" s="3" t="s">
        <v>113</v>
      </c>
      <c r="D46" s="3" t="s">
        <v>114</v>
      </c>
      <c r="E46" s="3" t="s">
        <v>236</v>
      </c>
      <c r="F46" s="3" t="s">
        <v>369</v>
      </c>
      <c r="G46" s="4" t="s">
        <v>370</v>
      </c>
      <c r="H46" s="3" t="s">
        <v>26</v>
      </c>
      <c r="I46" s="3" t="s">
        <v>371</v>
      </c>
      <c r="J46" s="4" t="s">
        <v>372</v>
      </c>
      <c r="K46" s="3"/>
      <c r="L46" s="5" t="s">
        <v>373</v>
      </c>
      <c r="M46" s="5" t="s">
        <v>98</v>
      </c>
      <c r="N46" s="5" t="s">
        <v>120</v>
      </c>
      <c r="O46" s="3" t="s">
        <v>374</v>
      </c>
      <c r="P46" s="3" t="s">
        <v>372</v>
      </c>
      <c r="Q46" s="3" t="s">
        <v>33</v>
      </c>
      <c r="R46" s="6"/>
      <c r="S46" s="3"/>
    </row>
    <row r="47" customFormat="false" ht="23.85" hidden="false" customHeight="false" outlineLevel="0" collapsed="false">
      <c r="A47" s="2" t="s">
        <v>19</v>
      </c>
      <c r="B47" s="3" t="s">
        <v>375</v>
      </c>
      <c r="C47" s="3" t="s">
        <v>113</v>
      </c>
      <c r="D47" s="3" t="s">
        <v>114</v>
      </c>
      <c r="E47" s="3" t="s">
        <v>376</v>
      </c>
      <c r="F47" s="3" t="s">
        <v>377</v>
      </c>
      <c r="G47" s="4" t="s">
        <v>378</v>
      </c>
      <c r="H47" s="3" t="s">
        <v>26</v>
      </c>
      <c r="I47" s="3" t="s">
        <v>379</v>
      </c>
      <c r="J47" s="4" t="s">
        <v>380</v>
      </c>
      <c r="K47" s="3"/>
      <c r="L47" s="5" t="s">
        <v>381</v>
      </c>
      <c r="M47" s="5" t="s">
        <v>29</v>
      </c>
      <c r="N47" s="5" t="s">
        <v>120</v>
      </c>
      <c r="O47" s="3" t="s">
        <v>382</v>
      </c>
      <c r="P47" s="3" t="s">
        <v>380</v>
      </c>
      <c r="Q47" s="3" t="s">
        <v>33</v>
      </c>
      <c r="R47" s="6"/>
      <c r="S47" s="3"/>
    </row>
    <row r="48" customFormat="false" ht="23.85" hidden="false" customHeight="false" outlineLevel="0" collapsed="false">
      <c r="A48" s="2" t="s">
        <v>19</v>
      </c>
      <c r="B48" s="3" t="s">
        <v>383</v>
      </c>
      <c r="C48" s="3" t="s">
        <v>113</v>
      </c>
      <c r="D48" s="3" t="s">
        <v>330</v>
      </c>
      <c r="E48" s="3" t="s">
        <v>245</v>
      </c>
      <c r="F48" s="3" t="s">
        <v>254</v>
      </c>
      <c r="G48" s="4" t="s">
        <v>384</v>
      </c>
      <c r="H48" s="3" t="s">
        <v>26</v>
      </c>
      <c r="I48" s="3" t="s">
        <v>385</v>
      </c>
      <c r="J48" s="4" t="s">
        <v>386</v>
      </c>
      <c r="K48" s="4" t="s">
        <v>387</v>
      </c>
      <c r="L48" s="5" t="s">
        <v>388</v>
      </c>
      <c r="M48" s="5" t="s">
        <v>29</v>
      </c>
      <c r="N48" s="5" t="s">
        <v>337</v>
      </c>
      <c r="O48" s="3" t="s">
        <v>389</v>
      </c>
      <c r="P48" s="3" t="s">
        <v>386</v>
      </c>
      <c r="Q48" s="3" t="s">
        <v>33</v>
      </c>
      <c r="R48" s="6"/>
      <c r="S48" s="3"/>
    </row>
    <row r="49" customFormat="false" ht="23.85" hidden="false" customHeight="false" outlineLevel="0" collapsed="false">
      <c r="A49" s="2" t="s">
        <v>19</v>
      </c>
      <c r="B49" s="3" t="s">
        <v>390</v>
      </c>
      <c r="C49" s="3" t="s">
        <v>113</v>
      </c>
      <c r="D49" s="3" t="s">
        <v>114</v>
      </c>
      <c r="E49" s="3" t="s">
        <v>279</v>
      </c>
      <c r="F49" s="3"/>
      <c r="G49" s="4" t="s">
        <v>391</v>
      </c>
      <c r="H49" s="3" t="s">
        <v>26</v>
      </c>
      <c r="I49" s="3"/>
      <c r="J49" s="4" t="s">
        <v>392</v>
      </c>
      <c r="K49" s="3"/>
      <c r="L49" s="5" t="s">
        <v>393</v>
      </c>
      <c r="M49" s="5" t="s">
        <v>98</v>
      </c>
      <c r="N49" s="5" t="s">
        <v>120</v>
      </c>
      <c r="O49" s="3" t="s">
        <v>394</v>
      </c>
      <c r="P49" s="3" t="s">
        <v>392</v>
      </c>
      <c r="Q49" s="3" t="s">
        <v>33</v>
      </c>
      <c r="R49" s="6"/>
      <c r="S49" s="3"/>
    </row>
    <row r="50" customFormat="false" ht="23.85" hidden="false" customHeight="false" outlineLevel="0" collapsed="false">
      <c r="A50" s="2" t="s">
        <v>19</v>
      </c>
      <c r="B50" s="3" t="s">
        <v>395</v>
      </c>
      <c r="C50" s="3" t="s">
        <v>113</v>
      </c>
      <c r="D50" s="3" t="s">
        <v>114</v>
      </c>
      <c r="E50" s="3" t="s">
        <v>236</v>
      </c>
      <c r="F50" s="3" t="s">
        <v>396</v>
      </c>
      <c r="G50" s="4" t="s">
        <v>397</v>
      </c>
      <c r="H50" s="3" t="s">
        <v>26</v>
      </c>
      <c r="I50" s="3" t="s">
        <v>398</v>
      </c>
      <c r="J50" s="4" t="s">
        <v>399</v>
      </c>
      <c r="K50" s="3"/>
      <c r="L50" s="5" t="s">
        <v>400</v>
      </c>
      <c r="M50" s="5" t="s">
        <v>29</v>
      </c>
      <c r="N50" s="5" t="s">
        <v>120</v>
      </c>
      <c r="O50" s="3" t="s">
        <v>401</v>
      </c>
      <c r="P50" s="3" t="s">
        <v>402</v>
      </c>
      <c r="Q50" s="3" t="s">
        <v>33</v>
      </c>
      <c r="R50" s="6"/>
      <c r="S50" s="3"/>
    </row>
    <row r="51" customFormat="false" ht="23.85" hidden="false" customHeight="false" outlineLevel="0" collapsed="false">
      <c r="A51" s="2" t="s">
        <v>19</v>
      </c>
      <c r="B51" s="3" t="s">
        <v>403</v>
      </c>
      <c r="C51" s="3" t="s">
        <v>113</v>
      </c>
      <c r="D51" s="3" t="s">
        <v>123</v>
      </c>
      <c r="E51" s="3" t="s">
        <v>279</v>
      </c>
      <c r="F51" s="3" t="s">
        <v>280</v>
      </c>
      <c r="G51" s="4" t="s">
        <v>404</v>
      </c>
      <c r="H51" s="3" t="s">
        <v>26</v>
      </c>
      <c r="I51" s="3" t="s">
        <v>405</v>
      </c>
      <c r="J51" s="4" t="s">
        <v>406</v>
      </c>
      <c r="K51" s="4" t="s">
        <v>407</v>
      </c>
      <c r="L51" s="5" t="s">
        <v>408</v>
      </c>
      <c r="M51" s="5" t="s">
        <v>41</v>
      </c>
      <c r="N51" s="5" t="s">
        <v>130</v>
      </c>
      <c r="O51" s="3" t="s">
        <v>409</v>
      </c>
      <c r="P51" s="3" t="s">
        <v>406</v>
      </c>
      <c r="Q51" s="3" t="s">
        <v>33</v>
      </c>
      <c r="R51" s="6"/>
      <c r="S51" s="3"/>
    </row>
    <row r="52" customFormat="false" ht="23.85" hidden="false" customHeight="false" outlineLevel="0" collapsed="false">
      <c r="A52" s="2" t="s">
        <v>19</v>
      </c>
      <c r="B52" s="3" t="s">
        <v>410</v>
      </c>
      <c r="C52" s="3" t="s">
        <v>113</v>
      </c>
      <c r="D52" s="3" t="s">
        <v>330</v>
      </c>
      <c r="E52" s="3" t="s">
        <v>245</v>
      </c>
      <c r="F52" s="3" t="s">
        <v>411</v>
      </c>
      <c r="G52" s="4" t="s">
        <v>412</v>
      </c>
      <c r="H52" s="3" t="s">
        <v>26</v>
      </c>
      <c r="I52" s="3" t="s">
        <v>413</v>
      </c>
      <c r="J52" s="4" t="s">
        <v>414</v>
      </c>
      <c r="K52" s="3"/>
      <c r="L52" s="5" t="s">
        <v>415</v>
      </c>
      <c r="M52" s="5" t="s">
        <v>416</v>
      </c>
      <c r="N52" s="5" t="s">
        <v>337</v>
      </c>
      <c r="O52" s="3" t="s">
        <v>417</v>
      </c>
      <c r="P52" s="3" t="s">
        <v>414</v>
      </c>
      <c r="Q52" s="3" t="s">
        <v>33</v>
      </c>
      <c r="R52" s="6"/>
      <c r="S52" s="3"/>
    </row>
    <row r="53" customFormat="false" ht="23.85" hidden="false" customHeight="false" outlineLevel="0" collapsed="false">
      <c r="A53" s="2" t="s">
        <v>19</v>
      </c>
      <c r="B53" s="3" t="s">
        <v>418</v>
      </c>
      <c r="C53" s="3" t="s">
        <v>113</v>
      </c>
      <c r="D53" s="3" t="s">
        <v>330</v>
      </c>
      <c r="E53" s="3" t="s">
        <v>245</v>
      </c>
      <c r="F53" s="3" t="s">
        <v>419</v>
      </c>
      <c r="G53" s="4" t="s">
        <v>420</v>
      </c>
      <c r="H53" s="3" t="s">
        <v>26</v>
      </c>
      <c r="I53" s="3" t="s">
        <v>421</v>
      </c>
      <c r="J53" s="4" t="s">
        <v>422</v>
      </c>
      <c r="K53" s="3"/>
      <c r="L53" s="5" t="s">
        <v>423</v>
      </c>
      <c r="M53" s="5" t="s">
        <v>424</v>
      </c>
      <c r="N53" s="5" t="s">
        <v>337</v>
      </c>
      <c r="O53" s="3" t="s">
        <v>425</v>
      </c>
      <c r="P53" s="3" t="s">
        <v>422</v>
      </c>
      <c r="Q53" s="3" t="s">
        <v>33</v>
      </c>
      <c r="R53" s="6"/>
      <c r="S53" s="3"/>
    </row>
    <row r="54" customFormat="false" ht="23.85" hidden="false" customHeight="false" outlineLevel="0" collapsed="false">
      <c r="A54" s="2" t="s">
        <v>19</v>
      </c>
      <c r="B54" s="3" t="s">
        <v>426</v>
      </c>
      <c r="C54" s="3" t="s">
        <v>113</v>
      </c>
      <c r="D54" s="3" t="s">
        <v>123</v>
      </c>
      <c r="E54" s="3" t="s">
        <v>228</v>
      </c>
      <c r="F54" s="3" t="s">
        <v>263</v>
      </c>
      <c r="G54" s="4" t="s">
        <v>427</v>
      </c>
      <c r="H54" s="3" t="s">
        <v>26</v>
      </c>
      <c r="I54" s="3" t="s">
        <v>428</v>
      </c>
      <c r="J54" s="4" t="s">
        <v>429</v>
      </c>
      <c r="K54" s="4" t="s">
        <v>430</v>
      </c>
      <c r="L54" s="5" t="s">
        <v>431</v>
      </c>
      <c r="M54" s="5" t="s">
        <v>41</v>
      </c>
      <c r="N54" s="5" t="s">
        <v>130</v>
      </c>
      <c r="O54" s="3" t="s">
        <v>432</v>
      </c>
      <c r="P54" s="3" t="s">
        <v>429</v>
      </c>
      <c r="Q54" s="3" t="s">
        <v>33</v>
      </c>
      <c r="R54" s="6"/>
      <c r="S54" s="3"/>
    </row>
    <row r="55" customFormat="false" ht="23.85" hidden="false" customHeight="false" outlineLevel="0" collapsed="false">
      <c r="A55" s="2" t="s">
        <v>19</v>
      </c>
      <c r="B55" s="3" t="s">
        <v>433</v>
      </c>
      <c r="C55" s="3" t="s">
        <v>21</v>
      </c>
      <c r="D55" s="3" t="s">
        <v>22</v>
      </c>
      <c r="E55" s="3" t="s">
        <v>23</v>
      </c>
      <c r="F55" s="3" t="s">
        <v>24</v>
      </c>
      <c r="G55" s="3"/>
      <c r="H55" s="3" t="s">
        <v>434</v>
      </c>
      <c r="I55" s="3" t="s">
        <v>435</v>
      </c>
      <c r="J55" s="4" t="s">
        <v>436</v>
      </c>
      <c r="K55" s="3"/>
      <c r="L55" s="5" t="s">
        <v>437</v>
      </c>
      <c r="M55" s="5" t="s">
        <v>29</v>
      </c>
      <c r="N55" s="5" t="s">
        <v>30</v>
      </c>
      <c r="O55" s="3" t="s">
        <v>438</v>
      </c>
      <c r="P55" s="3"/>
      <c r="Q55" s="3" t="s">
        <v>33</v>
      </c>
      <c r="R55" s="6"/>
      <c r="S55" s="3"/>
    </row>
    <row r="56" customFormat="false" ht="23.85" hidden="false" customHeight="false" outlineLevel="0" collapsed="false">
      <c r="A56" s="2" t="s">
        <v>19</v>
      </c>
      <c r="B56" s="3" t="s">
        <v>439</v>
      </c>
      <c r="C56" s="3" t="s">
        <v>21</v>
      </c>
      <c r="D56" s="3" t="s">
        <v>22</v>
      </c>
      <c r="E56" s="3" t="s">
        <v>23</v>
      </c>
      <c r="F56" s="3" t="s">
        <v>24</v>
      </c>
      <c r="G56" s="3"/>
      <c r="H56" s="3" t="s">
        <v>434</v>
      </c>
      <c r="I56" s="3"/>
      <c r="J56" s="4" t="s">
        <v>440</v>
      </c>
      <c r="K56" s="4" t="s">
        <v>441</v>
      </c>
      <c r="L56" s="5" t="s">
        <v>442</v>
      </c>
      <c r="M56" s="5" t="s">
        <v>29</v>
      </c>
      <c r="N56" s="5" t="s">
        <v>30</v>
      </c>
      <c r="O56" s="3" t="s">
        <v>443</v>
      </c>
      <c r="P56" s="3"/>
      <c r="Q56" s="3" t="s">
        <v>33</v>
      </c>
      <c r="R56" s="6"/>
      <c r="S56" s="3"/>
    </row>
    <row r="57" customFormat="false" ht="23.85" hidden="false" customHeight="false" outlineLevel="0" collapsed="false">
      <c r="A57" s="2" t="s">
        <v>19</v>
      </c>
      <c r="B57" s="3" t="s">
        <v>444</v>
      </c>
      <c r="C57" s="3" t="s">
        <v>113</v>
      </c>
      <c r="D57" s="3" t="s">
        <v>114</v>
      </c>
      <c r="E57" s="3" t="s">
        <v>23</v>
      </c>
      <c r="F57" s="3" t="s">
        <v>115</v>
      </c>
      <c r="G57" s="3"/>
      <c r="H57" s="3" t="s">
        <v>434</v>
      </c>
      <c r="I57" s="3"/>
      <c r="J57" s="4" t="s">
        <v>445</v>
      </c>
      <c r="K57" s="3"/>
      <c r="L57" s="5" t="s">
        <v>446</v>
      </c>
      <c r="M57" s="5" t="s">
        <v>98</v>
      </c>
      <c r="N57" s="5" t="s">
        <v>120</v>
      </c>
      <c r="O57" s="3" t="s">
        <v>447</v>
      </c>
      <c r="P57" s="3"/>
      <c r="Q57" s="3" t="s">
        <v>33</v>
      </c>
      <c r="R57" s="6"/>
      <c r="S57" s="3"/>
    </row>
    <row r="58" customFormat="false" ht="23.85" hidden="false" customHeight="false" outlineLevel="0" collapsed="false">
      <c r="A58" s="2" t="s">
        <v>19</v>
      </c>
      <c r="B58" s="3" t="s">
        <v>448</v>
      </c>
      <c r="C58" s="3" t="s">
        <v>113</v>
      </c>
      <c r="D58" s="3" t="s">
        <v>114</v>
      </c>
      <c r="E58" s="3" t="s">
        <v>23</v>
      </c>
      <c r="F58" s="3" t="s">
        <v>449</v>
      </c>
      <c r="G58" s="3"/>
      <c r="H58" s="3" t="s">
        <v>434</v>
      </c>
      <c r="I58" s="3"/>
      <c r="J58" s="4" t="s">
        <v>450</v>
      </c>
      <c r="K58" s="4" t="s">
        <v>451</v>
      </c>
      <c r="L58" s="5" t="s">
        <v>452</v>
      </c>
      <c r="M58" s="5" t="s">
        <v>98</v>
      </c>
      <c r="N58" s="5" t="s">
        <v>120</v>
      </c>
      <c r="O58" s="3" t="s">
        <v>453</v>
      </c>
      <c r="P58" s="3"/>
      <c r="Q58" s="3" t="s">
        <v>33</v>
      </c>
      <c r="R58" s="6"/>
      <c r="S58" s="3"/>
    </row>
    <row r="59" customFormat="false" ht="23.85" hidden="false" customHeight="false" outlineLevel="0" collapsed="false">
      <c r="A59" s="2" t="s">
        <v>19</v>
      </c>
      <c r="B59" s="3" t="s">
        <v>454</v>
      </c>
      <c r="C59" s="3" t="s">
        <v>113</v>
      </c>
      <c r="D59" s="3" t="s">
        <v>114</v>
      </c>
      <c r="E59" s="3" t="s">
        <v>23</v>
      </c>
      <c r="F59" s="3" t="s">
        <v>115</v>
      </c>
      <c r="G59" s="3"/>
      <c r="H59" s="3" t="s">
        <v>434</v>
      </c>
      <c r="I59" s="3"/>
      <c r="J59" s="4" t="s">
        <v>455</v>
      </c>
      <c r="K59" s="3"/>
      <c r="L59" s="5" t="s">
        <v>456</v>
      </c>
      <c r="M59" s="5" t="s">
        <v>98</v>
      </c>
      <c r="N59" s="5" t="s">
        <v>120</v>
      </c>
      <c r="O59" s="3" t="s">
        <v>457</v>
      </c>
      <c r="P59" s="3"/>
      <c r="Q59" s="3" t="s">
        <v>33</v>
      </c>
      <c r="R59" s="6"/>
      <c r="S59" s="3"/>
    </row>
    <row r="60" customFormat="false" ht="23.85" hidden="false" customHeight="false" outlineLevel="0" collapsed="false">
      <c r="A60" s="2" t="s">
        <v>19</v>
      </c>
      <c r="B60" s="3" t="s">
        <v>458</v>
      </c>
      <c r="C60" s="3" t="s">
        <v>113</v>
      </c>
      <c r="D60" s="3" t="s">
        <v>114</v>
      </c>
      <c r="E60" s="3" t="s">
        <v>23</v>
      </c>
      <c r="F60" s="3" t="s">
        <v>115</v>
      </c>
      <c r="G60" s="3"/>
      <c r="H60" s="3" t="s">
        <v>434</v>
      </c>
      <c r="I60" s="3"/>
      <c r="J60" s="4" t="s">
        <v>459</v>
      </c>
      <c r="K60" s="3"/>
      <c r="L60" s="5" t="s">
        <v>460</v>
      </c>
      <c r="M60" s="5" t="s">
        <v>98</v>
      </c>
      <c r="N60" s="5" t="s">
        <v>120</v>
      </c>
      <c r="O60" s="3" t="s">
        <v>461</v>
      </c>
      <c r="P60" s="3"/>
      <c r="Q60" s="3" t="s">
        <v>33</v>
      </c>
      <c r="R60" s="6"/>
      <c r="S60" s="3"/>
    </row>
    <row r="61" customFormat="false" ht="23.85" hidden="false" customHeight="false" outlineLevel="0" collapsed="false">
      <c r="A61" s="2" t="s">
        <v>19</v>
      </c>
      <c r="B61" s="3" t="s">
        <v>462</v>
      </c>
      <c r="C61" s="3" t="s">
        <v>21</v>
      </c>
      <c r="D61" s="3" t="s">
        <v>70</v>
      </c>
      <c r="E61" s="3" t="s">
        <v>322</v>
      </c>
      <c r="F61" s="3" t="s">
        <v>463</v>
      </c>
      <c r="G61" s="3"/>
      <c r="H61" s="3" t="s">
        <v>434</v>
      </c>
      <c r="I61" s="3"/>
      <c r="J61" s="4" t="s">
        <v>464</v>
      </c>
      <c r="K61" s="3"/>
      <c r="L61" s="5" t="s">
        <v>465</v>
      </c>
      <c r="M61" s="5" t="s">
        <v>98</v>
      </c>
      <c r="N61" s="5" t="s">
        <v>77</v>
      </c>
      <c r="O61" s="3" t="s">
        <v>466</v>
      </c>
      <c r="P61" s="3"/>
      <c r="Q61" s="3" t="s">
        <v>33</v>
      </c>
      <c r="R61" s="6"/>
      <c r="S61" s="3"/>
    </row>
    <row r="62" customFormat="false" ht="23.85" hidden="false" customHeight="false" outlineLevel="0" collapsed="false">
      <c r="A62" s="2" t="s">
        <v>19</v>
      </c>
      <c r="B62" s="3" t="s">
        <v>467</v>
      </c>
      <c r="C62" s="3" t="s">
        <v>113</v>
      </c>
      <c r="D62" s="3" t="s">
        <v>114</v>
      </c>
      <c r="E62" s="3" t="s">
        <v>376</v>
      </c>
      <c r="F62" s="3" t="s">
        <v>377</v>
      </c>
      <c r="G62" s="3"/>
      <c r="H62" s="3" t="s">
        <v>434</v>
      </c>
      <c r="I62" s="3"/>
      <c r="J62" s="4" t="s">
        <v>468</v>
      </c>
      <c r="K62" s="3"/>
      <c r="L62" s="5" t="s">
        <v>469</v>
      </c>
      <c r="M62" s="5" t="s">
        <v>98</v>
      </c>
      <c r="N62" s="5" t="s">
        <v>120</v>
      </c>
      <c r="O62" s="3" t="s">
        <v>470</v>
      </c>
      <c r="P62" s="3"/>
      <c r="Q62" s="3" t="s">
        <v>33</v>
      </c>
      <c r="R62" s="6"/>
      <c r="S62" s="3"/>
    </row>
    <row r="63" customFormat="false" ht="23.85" hidden="false" customHeight="false" outlineLevel="0" collapsed="false">
      <c r="A63" s="7" t="s">
        <v>471</v>
      </c>
      <c r="B63" s="3" t="s">
        <v>472</v>
      </c>
      <c r="C63" s="3" t="s">
        <v>21</v>
      </c>
      <c r="D63" s="3" t="s">
        <v>52</v>
      </c>
      <c r="E63" s="3" t="s">
        <v>23</v>
      </c>
      <c r="F63" s="3" t="s">
        <v>473</v>
      </c>
      <c r="G63" s="4" t="s">
        <v>474</v>
      </c>
      <c r="H63" s="3" t="s">
        <v>62</v>
      </c>
      <c r="I63" s="3" t="s">
        <v>475</v>
      </c>
      <c r="J63" s="4" t="s">
        <v>476</v>
      </c>
      <c r="K63" s="3"/>
      <c r="L63" s="5" t="s">
        <v>477</v>
      </c>
      <c r="M63" s="5" t="s">
        <v>478</v>
      </c>
      <c r="N63" s="5" t="s">
        <v>56</v>
      </c>
      <c r="O63" s="3" t="s">
        <v>479</v>
      </c>
      <c r="P63" s="3" t="s">
        <v>476</v>
      </c>
      <c r="Q63" s="3" t="s">
        <v>33</v>
      </c>
      <c r="R63" s="6"/>
      <c r="S63" s="3"/>
    </row>
    <row r="64" customFormat="false" ht="23.85" hidden="false" customHeight="false" outlineLevel="0" collapsed="false">
      <c r="A64" s="7" t="s">
        <v>471</v>
      </c>
      <c r="B64" s="3" t="s">
        <v>480</v>
      </c>
      <c r="C64" s="3" t="s">
        <v>21</v>
      </c>
      <c r="D64" s="3" t="s">
        <v>60</v>
      </c>
      <c r="E64" s="3" t="s">
        <v>23</v>
      </c>
      <c r="F64" s="3" t="s">
        <v>24</v>
      </c>
      <c r="G64" s="4" t="s">
        <v>481</v>
      </c>
      <c r="H64" s="3" t="s">
        <v>26</v>
      </c>
      <c r="I64" s="3" t="s">
        <v>482</v>
      </c>
      <c r="J64" s="4" t="s">
        <v>483</v>
      </c>
      <c r="K64" s="4" t="s">
        <v>484</v>
      </c>
      <c r="L64" s="5" t="s">
        <v>485</v>
      </c>
      <c r="M64" s="5" t="s">
        <v>478</v>
      </c>
      <c r="N64" s="5" t="s">
        <v>67</v>
      </c>
      <c r="O64" s="3" t="s">
        <v>486</v>
      </c>
      <c r="P64" s="3" t="s">
        <v>483</v>
      </c>
      <c r="Q64" s="3" t="s">
        <v>33</v>
      </c>
      <c r="R64" s="6"/>
      <c r="S64" s="3"/>
    </row>
    <row r="65" customFormat="false" ht="23.85" hidden="false" customHeight="false" outlineLevel="0" collapsed="false">
      <c r="A65" s="7" t="s">
        <v>471</v>
      </c>
      <c r="B65" s="3" t="s">
        <v>487</v>
      </c>
      <c r="C65" s="3" t="s">
        <v>21</v>
      </c>
      <c r="D65" s="3" t="s">
        <v>22</v>
      </c>
      <c r="E65" s="3" t="s">
        <v>23</v>
      </c>
      <c r="F65" s="3" t="s">
        <v>24</v>
      </c>
      <c r="G65" s="4" t="s">
        <v>488</v>
      </c>
      <c r="H65" s="3" t="s">
        <v>26</v>
      </c>
      <c r="I65" s="3" t="s">
        <v>489</v>
      </c>
      <c r="J65" s="4" t="s">
        <v>490</v>
      </c>
      <c r="K65" s="3"/>
      <c r="L65" s="5" t="s">
        <v>491</v>
      </c>
      <c r="M65" s="5" t="s">
        <v>98</v>
      </c>
      <c r="N65" s="5" t="s">
        <v>30</v>
      </c>
      <c r="O65" s="3" t="s">
        <v>492</v>
      </c>
      <c r="P65" s="3" t="s">
        <v>490</v>
      </c>
      <c r="Q65" s="3" t="s">
        <v>33</v>
      </c>
      <c r="R65" s="6"/>
      <c r="S65" s="3"/>
    </row>
    <row r="66" customFormat="false" ht="23.85" hidden="false" customHeight="false" outlineLevel="0" collapsed="false">
      <c r="A66" s="7" t="s">
        <v>471</v>
      </c>
      <c r="B66" s="3" t="s">
        <v>493</v>
      </c>
      <c r="C66" s="3" t="s">
        <v>21</v>
      </c>
      <c r="D66" s="3" t="s">
        <v>52</v>
      </c>
      <c r="E66" s="3" t="s">
        <v>23</v>
      </c>
      <c r="F66" s="3" t="s">
        <v>24</v>
      </c>
      <c r="G66" s="4" t="s">
        <v>494</v>
      </c>
      <c r="H66" s="3" t="s">
        <v>26</v>
      </c>
      <c r="I66" s="3" t="s">
        <v>495</v>
      </c>
      <c r="J66" s="4" t="s">
        <v>496</v>
      </c>
      <c r="K66" s="4" t="s">
        <v>497</v>
      </c>
      <c r="L66" s="5" t="s">
        <v>498</v>
      </c>
      <c r="M66" s="5" t="s">
        <v>478</v>
      </c>
      <c r="N66" s="5" t="s">
        <v>56</v>
      </c>
      <c r="O66" s="3" t="s">
        <v>499</v>
      </c>
      <c r="P66" s="3" t="s">
        <v>496</v>
      </c>
      <c r="Q66" s="3" t="s">
        <v>33</v>
      </c>
      <c r="R66" s="6"/>
      <c r="S66" s="3"/>
    </row>
    <row r="67" customFormat="false" ht="23.85" hidden="false" customHeight="false" outlineLevel="0" collapsed="false">
      <c r="A67" s="7" t="s">
        <v>471</v>
      </c>
      <c r="B67" s="3" t="s">
        <v>500</v>
      </c>
      <c r="C67" s="3" t="s">
        <v>21</v>
      </c>
      <c r="D67" s="3" t="s">
        <v>35</v>
      </c>
      <c r="E67" s="3" t="s">
        <v>23</v>
      </c>
      <c r="F67" s="3" t="s">
        <v>24</v>
      </c>
      <c r="G67" s="4" t="s">
        <v>501</v>
      </c>
      <c r="H67" s="3" t="s">
        <v>26</v>
      </c>
      <c r="I67" s="3" t="s">
        <v>502</v>
      </c>
      <c r="J67" s="4" t="s">
        <v>503</v>
      </c>
      <c r="K67" s="3"/>
      <c r="L67" s="5" t="s">
        <v>504</v>
      </c>
      <c r="M67" s="5" t="s">
        <v>478</v>
      </c>
      <c r="N67" s="5" t="s">
        <v>42</v>
      </c>
      <c r="O67" s="3" t="s">
        <v>505</v>
      </c>
      <c r="P67" s="3" t="s">
        <v>503</v>
      </c>
      <c r="Q67" s="3" t="s">
        <v>33</v>
      </c>
      <c r="R67" s="6"/>
      <c r="S67" s="3"/>
    </row>
    <row r="68" customFormat="false" ht="35.05" hidden="false" customHeight="false" outlineLevel="0" collapsed="false">
      <c r="A68" s="7" t="s">
        <v>471</v>
      </c>
      <c r="B68" s="3" t="s">
        <v>506</v>
      </c>
      <c r="C68" s="3" t="s">
        <v>21</v>
      </c>
      <c r="D68" s="3" t="s">
        <v>22</v>
      </c>
      <c r="E68" s="3" t="s">
        <v>23</v>
      </c>
      <c r="F68" s="3" t="s">
        <v>24</v>
      </c>
      <c r="G68" s="4" t="s">
        <v>507</v>
      </c>
      <c r="H68" s="3" t="s">
        <v>26</v>
      </c>
      <c r="I68" s="3" t="s">
        <v>508</v>
      </c>
      <c r="J68" s="4" t="s">
        <v>509</v>
      </c>
      <c r="K68" s="3"/>
      <c r="L68" s="5" t="s">
        <v>510</v>
      </c>
      <c r="M68" s="5" t="s">
        <v>98</v>
      </c>
      <c r="N68" s="5" t="s">
        <v>30</v>
      </c>
      <c r="O68" s="3" t="s">
        <v>511</v>
      </c>
      <c r="P68" s="3" t="s">
        <v>509</v>
      </c>
      <c r="Q68" s="3" t="s">
        <v>33</v>
      </c>
      <c r="R68" s="6"/>
      <c r="S68" s="3"/>
    </row>
    <row r="69" customFormat="false" ht="23.85" hidden="false" customHeight="false" outlineLevel="0" collapsed="false">
      <c r="A69" s="7" t="s">
        <v>471</v>
      </c>
      <c r="B69" s="3" t="s">
        <v>512</v>
      </c>
      <c r="C69" s="3" t="s">
        <v>21</v>
      </c>
      <c r="D69" s="3" t="s">
        <v>22</v>
      </c>
      <c r="E69" s="3" t="s">
        <v>23</v>
      </c>
      <c r="F69" s="3" t="s">
        <v>24</v>
      </c>
      <c r="G69" s="4" t="s">
        <v>513</v>
      </c>
      <c r="H69" s="3" t="s">
        <v>26</v>
      </c>
      <c r="I69" s="3" t="s">
        <v>514</v>
      </c>
      <c r="J69" s="4" t="s">
        <v>515</v>
      </c>
      <c r="K69" s="4" t="s">
        <v>516</v>
      </c>
      <c r="L69" s="5" t="s">
        <v>517</v>
      </c>
      <c r="M69" s="5" t="s">
        <v>98</v>
      </c>
      <c r="N69" s="5" t="s">
        <v>30</v>
      </c>
      <c r="O69" s="3" t="s">
        <v>518</v>
      </c>
      <c r="P69" s="3" t="s">
        <v>515</v>
      </c>
      <c r="Q69" s="3" t="s">
        <v>33</v>
      </c>
      <c r="R69" s="6"/>
      <c r="S69" s="3"/>
    </row>
    <row r="70" customFormat="false" ht="23.85" hidden="false" customHeight="false" outlineLevel="0" collapsed="false">
      <c r="A70" s="7" t="s">
        <v>471</v>
      </c>
      <c r="B70" s="3" t="s">
        <v>519</v>
      </c>
      <c r="C70" s="3" t="s">
        <v>21</v>
      </c>
      <c r="D70" s="3" t="s">
        <v>52</v>
      </c>
      <c r="E70" s="3" t="s">
        <v>23</v>
      </c>
      <c r="F70" s="3" t="s">
        <v>24</v>
      </c>
      <c r="G70" s="4" t="s">
        <v>520</v>
      </c>
      <c r="H70" s="3" t="s">
        <v>26</v>
      </c>
      <c r="I70" s="3" t="s">
        <v>521</v>
      </c>
      <c r="J70" s="4" t="s">
        <v>522</v>
      </c>
      <c r="K70" s="3"/>
      <c r="L70" s="5" t="s">
        <v>523</v>
      </c>
      <c r="M70" s="5" t="s">
        <v>478</v>
      </c>
      <c r="N70" s="5" t="s">
        <v>56</v>
      </c>
      <c r="O70" s="3" t="s">
        <v>524</v>
      </c>
      <c r="P70" s="3" t="s">
        <v>522</v>
      </c>
      <c r="Q70" s="3" t="s">
        <v>33</v>
      </c>
      <c r="R70" s="6"/>
      <c r="S70" s="3"/>
    </row>
    <row r="71" customFormat="false" ht="23.85" hidden="false" customHeight="false" outlineLevel="0" collapsed="false">
      <c r="A71" s="7" t="s">
        <v>471</v>
      </c>
      <c r="B71" s="3" t="s">
        <v>525</v>
      </c>
      <c r="C71" s="3" t="s">
        <v>21</v>
      </c>
      <c r="D71" s="3" t="s">
        <v>22</v>
      </c>
      <c r="E71" s="3" t="s">
        <v>23</v>
      </c>
      <c r="F71" s="3" t="s">
        <v>24</v>
      </c>
      <c r="G71" s="4" t="s">
        <v>526</v>
      </c>
      <c r="H71" s="3" t="s">
        <v>26</v>
      </c>
      <c r="I71" s="3" t="s">
        <v>527</v>
      </c>
      <c r="J71" s="4" t="s">
        <v>528</v>
      </c>
      <c r="K71" s="4" t="s">
        <v>529</v>
      </c>
      <c r="L71" s="5" t="s">
        <v>530</v>
      </c>
      <c r="M71" s="5" t="s">
        <v>98</v>
      </c>
      <c r="N71" s="5" t="s">
        <v>30</v>
      </c>
      <c r="O71" s="3" t="s">
        <v>531</v>
      </c>
      <c r="P71" s="3" t="s">
        <v>528</v>
      </c>
      <c r="Q71" s="3" t="s">
        <v>33</v>
      </c>
      <c r="R71" s="6"/>
      <c r="S71" s="3"/>
    </row>
    <row r="72" customFormat="false" ht="23.85" hidden="false" customHeight="false" outlineLevel="0" collapsed="false">
      <c r="A72" s="7" t="s">
        <v>471</v>
      </c>
      <c r="B72" s="3" t="s">
        <v>532</v>
      </c>
      <c r="C72" s="3" t="s">
        <v>21</v>
      </c>
      <c r="D72" s="3" t="s">
        <v>35</v>
      </c>
      <c r="E72" s="3" t="s">
        <v>23</v>
      </c>
      <c r="F72" s="3" t="s">
        <v>115</v>
      </c>
      <c r="G72" s="4" t="s">
        <v>533</v>
      </c>
      <c r="H72" s="3" t="s">
        <v>26</v>
      </c>
      <c r="I72" s="3" t="s">
        <v>534</v>
      </c>
      <c r="J72" s="4" t="s">
        <v>535</v>
      </c>
      <c r="K72" s="3"/>
      <c r="L72" s="5" t="s">
        <v>536</v>
      </c>
      <c r="M72" s="5" t="s">
        <v>478</v>
      </c>
      <c r="N72" s="5" t="s">
        <v>42</v>
      </c>
      <c r="O72" s="3" t="s">
        <v>537</v>
      </c>
      <c r="P72" s="3" t="s">
        <v>535</v>
      </c>
      <c r="Q72" s="3" t="s">
        <v>33</v>
      </c>
      <c r="R72" s="6"/>
      <c r="S72" s="3"/>
    </row>
    <row r="73" customFormat="false" ht="23.85" hidden="false" customHeight="false" outlineLevel="0" collapsed="false">
      <c r="A73" s="7" t="s">
        <v>471</v>
      </c>
      <c r="B73" s="3" t="s">
        <v>538</v>
      </c>
      <c r="C73" s="3" t="s">
        <v>21</v>
      </c>
      <c r="D73" s="3" t="s">
        <v>22</v>
      </c>
      <c r="E73" s="3" t="s">
        <v>23</v>
      </c>
      <c r="F73" s="3" t="s">
        <v>115</v>
      </c>
      <c r="G73" s="4" t="s">
        <v>539</v>
      </c>
      <c r="H73" s="3" t="s">
        <v>26</v>
      </c>
      <c r="I73" s="3" t="s">
        <v>540</v>
      </c>
      <c r="J73" s="4" t="s">
        <v>541</v>
      </c>
      <c r="K73" s="4" t="s">
        <v>542</v>
      </c>
      <c r="L73" s="5" t="s">
        <v>543</v>
      </c>
      <c r="M73" s="5" t="s">
        <v>98</v>
      </c>
      <c r="N73" s="5" t="s">
        <v>30</v>
      </c>
      <c r="O73" s="3" t="s">
        <v>544</v>
      </c>
      <c r="P73" s="3" t="s">
        <v>541</v>
      </c>
      <c r="Q73" s="3" t="s">
        <v>33</v>
      </c>
      <c r="R73" s="6"/>
      <c r="S73" s="3"/>
    </row>
    <row r="74" customFormat="false" ht="23.85" hidden="false" customHeight="false" outlineLevel="0" collapsed="false">
      <c r="A74" s="7" t="s">
        <v>471</v>
      </c>
      <c r="B74" s="3" t="s">
        <v>545</v>
      </c>
      <c r="C74" s="3" t="s">
        <v>21</v>
      </c>
      <c r="D74" s="3" t="s">
        <v>52</v>
      </c>
      <c r="E74" s="3" t="s">
        <v>23</v>
      </c>
      <c r="F74" s="3" t="s">
        <v>24</v>
      </c>
      <c r="G74" s="4" t="s">
        <v>546</v>
      </c>
      <c r="H74" s="3" t="s">
        <v>26</v>
      </c>
      <c r="I74" s="3" t="s">
        <v>547</v>
      </c>
      <c r="J74" s="4" t="s">
        <v>548</v>
      </c>
      <c r="K74" s="3"/>
      <c r="L74" s="5" t="s">
        <v>549</v>
      </c>
      <c r="M74" s="5" t="s">
        <v>478</v>
      </c>
      <c r="N74" s="5" t="s">
        <v>56</v>
      </c>
      <c r="O74" s="3" t="s">
        <v>550</v>
      </c>
      <c r="P74" s="3" t="s">
        <v>548</v>
      </c>
      <c r="Q74" s="3" t="s">
        <v>33</v>
      </c>
      <c r="R74" s="6"/>
      <c r="S74" s="3"/>
    </row>
    <row r="75" customFormat="false" ht="23.85" hidden="false" customHeight="false" outlineLevel="0" collapsed="false">
      <c r="A75" s="7" t="s">
        <v>471</v>
      </c>
      <c r="B75" s="3" t="s">
        <v>551</v>
      </c>
      <c r="C75" s="3" t="s">
        <v>21</v>
      </c>
      <c r="D75" s="3" t="s">
        <v>22</v>
      </c>
      <c r="E75" s="3" t="s">
        <v>23</v>
      </c>
      <c r="F75" s="3" t="s">
        <v>24</v>
      </c>
      <c r="G75" s="4" t="s">
        <v>552</v>
      </c>
      <c r="H75" s="3" t="s">
        <v>26</v>
      </c>
      <c r="I75" s="3" t="s">
        <v>553</v>
      </c>
      <c r="J75" s="4" t="s">
        <v>554</v>
      </c>
      <c r="K75" s="3"/>
      <c r="L75" s="5" t="s">
        <v>555</v>
      </c>
      <c r="M75" s="5" t="s">
        <v>98</v>
      </c>
      <c r="N75" s="5" t="s">
        <v>30</v>
      </c>
      <c r="O75" s="3" t="s">
        <v>556</v>
      </c>
      <c r="P75" s="3" t="s">
        <v>554</v>
      </c>
      <c r="Q75" s="3" t="s">
        <v>33</v>
      </c>
      <c r="R75" s="6"/>
      <c r="S75" s="3"/>
    </row>
    <row r="76" customFormat="false" ht="23.85" hidden="false" customHeight="false" outlineLevel="0" collapsed="false">
      <c r="A76" s="7" t="s">
        <v>471</v>
      </c>
      <c r="B76" s="3" t="s">
        <v>557</v>
      </c>
      <c r="C76" s="3" t="s">
        <v>21</v>
      </c>
      <c r="D76" s="3" t="s">
        <v>22</v>
      </c>
      <c r="E76" s="3" t="s">
        <v>23</v>
      </c>
      <c r="F76" s="3" t="s">
        <v>24</v>
      </c>
      <c r="G76" s="4" t="s">
        <v>558</v>
      </c>
      <c r="H76" s="3" t="s">
        <v>26</v>
      </c>
      <c r="I76" s="3" t="s">
        <v>559</v>
      </c>
      <c r="J76" s="4" t="s">
        <v>560</v>
      </c>
      <c r="K76" s="3"/>
      <c r="L76" s="5" t="s">
        <v>561</v>
      </c>
      <c r="M76" s="5" t="s">
        <v>98</v>
      </c>
      <c r="N76" s="5" t="s">
        <v>30</v>
      </c>
      <c r="O76" s="3" t="s">
        <v>562</v>
      </c>
      <c r="P76" s="3" t="s">
        <v>560</v>
      </c>
      <c r="Q76" s="3" t="s">
        <v>33</v>
      </c>
      <c r="R76" s="6"/>
      <c r="S76" s="3"/>
    </row>
    <row r="77" customFormat="false" ht="23.85" hidden="false" customHeight="false" outlineLevel="0" collapsed="false">
      <c r="A77" s="7" t="s">
        <v>471</v>
      </c>
      <c r="B77" s="3" t="s">
        <v>563</v>
      </c>
      <c r="C77" s="3" t="s">
        <v>21</v>
      </c>
      <c r="D77" s="3" t="s">
        <v>22</v>
      </c>
      <c r="E77" s="3" t="s">
        <v>23</v>
      </c>
      <c r="F77" s="3" t="s">
        <v>115</v>
      </c>
      <c r="G77" s="4" t="s">
        <v>564</v>
      </c>
      <c r="H77" s="3" t="s">
        <v>26</v>
      </c>
      <c r="I77" s="3" t="s">
        <v>565</v>
      </c>
      <c r="J77" s="4" t="s">
        <v>566</v>
      </c>
      <c r="K77" s="4" t="s">
        <v>567</v>
      </c>
      <c r="L77" s="5" t="s">
        <v>568</v>
      </c>
      <c r="M77" s="5" t="s">
        <v>98</v>
      </c>
      <c r="N77" s="5" t="s">
        <v>30</v>
      </c>
      <c r="O77" s="3" t="s">
        <v>569</v>
      </c>
      <c r="P77" s="3" t="s">
        <v>566</v>
      </c>
      <c r="Q77" s="3" t="s">
        <v>33</v>
      </c>
      <c r="R77" s="6"/>
      <c r="S77" s="3"/>
    </row>
    <row r="78" customFormat="false" ht="23.85" hidden="false" customHeight="false" outlineLevel="0" collapsed="false">
      <c r="A78" s="7" t="s">
        <v>471</v>
      </c>
      <c r="B78" s="3" t="s">
        <v>570</v>
      </c>
      <c r="C78" s="3" t="s">
        <v>21</v>
      </c>
      <c r="D78" s="3" t="s">
        <v>60</v>
      </c>
      <c r="E78" s="3" t="s">
        <v>23</v>
      </c>
      <c r="F78" s="3" t="s">
        <v>24</v>
      </c>
      <c r="G78" s="4" t="s">
        <v>571</v>
      </c>
      <c r="H78" s="3" t="s">
        <v>62</v>
      </c>
      <c r="I78" s="3" t="s">
        <v>572</v>
      </c>
      <c r="J78" s="4" t="s">
        <v>573</v>
      </c>
      <c r="K78" s="3"/>
      <c r="L78" s="5" t="s">
        <v>574</v>
      </c>
      <c r="M78" s="5" t="s">
        <v>478</v>
      </c>
      <c r="N78" s="5" t="s">
        <v>67</v>
      </c>
      <c r="O78" s="3" t="s">
        <v>575</v>
      </c>
      <c r="P78" s="3" t="s">
        <v>573</v>
      </c>
      <c r="Q78" s="3" t="s">
        <v>33</v>
      </c>
      <c r="R78" s="6"/>
      <c r="S78" s="3"/>
    </row>
    <row r="79" customFormat="false" ht="35.05" hidden="false" customHeight="false" outlineLevel="0" collapsed="false">
      <c r="A79" s="7" t="s">
        <v>471</v>
      </c>
      <c r="B79" s="3" t="s">
        <v>576</v>
      </c>
      <c r="C79" s="3" t="s">
        <v>21</v>
      </c>
      <c r="D79" s="3" t="s">
        <v>22</v>
      </c>
      <c r="E79" s="3" t="s">
        <v>23</v>
      </c>
      <c r="F79" s="3" t="s">
        <v>115</v>
      </c>
      <c r="G79" s="4" t="s">
        <v>577</v>
      </c>
      <c r="H79" s="3" t="s">
        <v>26</v>
      </c>
      <c r="I79" s="3" t="s">
        <v>578</v>
      </c>
      <c r="J79" s="4" t="s">
        <v>579</v>
      </c>
      <c r="K79" s="4" t="s">
        <v>580</v>
      </c>
      <c r="L79" s="5" t="s">
        <v>581</v>
      </c>
      <c r="M79" s="5" t="s">
        <v>98</v>
      </c>
      <c r="N79" s="5" t="s">
        <v>30</v>
      </c>
      <c r="O79" s="3" t="s">
        <v>582</v>
      </c>
      <c r="P79" s="3" t="s">
        <v>579</v>
      </c>
      <c r="Q79" s="3" t="s">
        <v>33</v>
      </c>
      <c r="R79" s="6"/>
      <c r="S79" s="3"/>
    </row>
    <row r="80" customFormat="false" ht="23.85" hidden="false" customHeight="false" outlineLevel="0" collapsed="false">
      <c r="A80" s="7" t="s">
        <v>471</v>
      </c>
      <c r="B80" s="3" t="s">
        <v>583</v>
      </c>
      <c r="C80" s="3" t="s">
        <v>21</v>
      </c>
      <c r="D80" s="3" t="s">
        <v>22</v>
      </c>
      <c r="E80" s="3" t="s">
        <v>23</v>
      </c>
      <c r="F80" s="3" t="s">
        <v>24</v>
      </c>
      <c r="G80" s="4" t="s">
        <v>584</v>
      </c>
      <c r="H80" s="3" t="s">
        <v>26</v>
      </c>
      <c r="I80" s="3" t="s">
        <v>585</v>
      </c>
      <c r="J80" s="4" t="s">
        <v>586</v>
      </c>
      <c r="K80" s="4" t="s">
        <v>587</v>
      </c>
      <c r="L80" s="5" t="s">
        <v>588</v>
      </c>
      <c r="M80" s="5" t="s">
        <v>98</v>
      </c>
      <c r="N80" s="5" t="s">
        <v>30</v>
      </c>
      <c r="O80" s="3" t="s">
        <v>589</v>
      </c>
      <c r="P80" s="3" t="s">
        <v>586</v>
      </c>
      <c r="Q80" s="3" t="s">
        <v>33</v>
      </c>
      <c r="R80" s="6"/>
      <c r="S80" s="3"/>
    </row>
    <row r="81" customFormat="false" ht="23.85" hidden="false" customHeight="false" outlineLevel="0" collapsed="false">
      <c r="A81" s="7" t="s">
        <v>471</v>
      </c>
      <c r="B81" s="3" t="s">
        <v>590</v>
      </c>
      <c r="C81" s="3" t="s">
        <v>21</v>
      </c>
      <c r="D81" s="3" t="s">
        <v>22</v>
      </c>
      <c r="E81" s="3" t="s">
        <v>23</v>
      </c>
      <c r="F81" s="3" t="s">
        <v>24</v>
      </c>
      <c r="G81" s="4" t="s">
        <v>591</v>
      </c>
      <c r="H81" s="3" t="s">
        <v>26</v>
      </c>
      <c r="I81" s="3"/>
      <c r="J81" s="4" t="s">
        <v>592</v>
      </c>
      <c r="K81" s="3"/>
      <c r="L81" s="5" t="s">
        <v>593</v>
      </c>
      <c r="M81" s="5" t="s">
        <v>98</v>
      </c>
      <c r="N81" s="5" t="s">
        <v>30</v>
      </c>
      <c r="O81" s="3" t="s">
        <v>594</v>
      </c>
      <c r="P81" s="3" t="s">
        <v>592</v>
      </c>
      <c r="Q81" s="3" t="s">
        <v>33</v>
      </c>
      <c r="R81" s="6"/>
      <c r="S81" s="3"/>
    </row>
    <row r="82" customFormat="false" ht="35.05" hidden="false" customHeight="false" outlineLevel="0" collapsed="false">
      <c r="A82" s="7" t="s">
        <v>471</v>
      </c>
      <c r="B82" s="3" t="s">
        <v>595</v>
      </c>
      <c r="C82" s="3" t="s">
        <v>21</v>
      </c>
      <c r="D82" s="3" t="s">
        <v>22</v>
      </c>
      <c r="E82" s="3" t="s">
        <v>23</v>
      </c>
      <c r="F82" s="3" t="s">
        <v>24</v>
      </c>
      <c r="G82" s="4" t="s">
        <v>596</v>
      </c>
      <c r="H82" s="3" t="s">
        <v>62</v>
      </c>
      <c r="I82" s="3" t="s">
        <v>597</v>
      </c>
      <c r="J82" s="4" t="s">
        <v>598</v>
      </c>
      <c r="K82" s="4" t="s">
        <v>599</v>
      </c>
      <c r="L82" s="5" t="s">
        <v>600</v>
      </c>
      <c r="M82" s="5" t="s">
        <v>98</v>
      </c>
      <c r="N82" s="5" t="s">
        <v>30</v>
      </c>
      <c r="O82" s="3" t="s">
        <v>601</v>
      </c>
      <c r="P82" s="3" t="s">
        <v>598</v>
      </c>
      <c r="Q82" s="3" t="s">
        <v>33</v>
      </c>
      <c r="R82" s="6"/>
      <c r="S82" s="3"/>
    </row>
    <row r="83" customFormat="false" ht="23.85" hidden="false" customHeight="false" outlineLevel="0" collapsed="false">
      <c r="A83" s="7" t="s">
        <v>471</v>
      </c>
      <c r="B83" s="3" t="s">
        <v>602</v>
      </c>
      <c r="C83" s="3" t="s">
        <v>21</v>
      </c>
      <c r="D83" s="3" t="s">
        <v>22</v>
      </c>
      <c r="E83" s="3" t="s">
        <v>23</v>
      </c>
      <c r="F83" s="3" t="s">
        <v>24</v>
      </c>
      <c r="G83" s="4" t="s">
        <v>603</v>
      </c>
      <c r="H83" s="3" t="s">
        <v>26</v>
      </c>
      <c r="I83" s="3" t="s">
        <v>604</v>
      </c>
      <c r="J83" s="4" t="s">
        <v>605</v>
      </c>
      <c r="K83" s="4" t="s">
        <v>606</v>
      </c>
      <c r="L83" s="5" t="s">
        <v>607</v>
      </c>
      <c r="M83" s="5" t="s">
        <v>98</v>
      </c>
      <c r="N83" s="5" t="s">
        <v>30</v>
      </c>
      <c r="O83" s="3" t="s">
        <v>608</v>
      </c>
      <c r="P83" s="3" t="s">
        <v>605</v>
      </c>
      <c r="Q83" s="3" t="s">
        <v>33</v>
      </c>
      <c r="R83" s="6"/>
      <c r="S83" s="3"/>
    </row>
    <row r="84" customFormat="false" ht="23.85" hidden="false" customHeight="false" outlineLevel="0" collapsed="false">
      <c r="A84" s="7" t="s">
        <v>471</v>
      </c>
      <c r="B84" s="3" t="s">
        <v>609</v>
      </c>
      <c r="C84" s="3" t="s">
        <v>21</v>
      </c>
      <c r="D84" s="3" t="s">
        <v>22</v>
      </c>
      <c r="E84" s="3" t="s">
        <v>23</v>
      </c>
      <c r="F84" s="3" t="s">
        <v>24</v>
      </c>
      <c r="G84" s="4" t="s">
        <v>610</v>
      </c>
      <c r="H84" s="3" t="s">
        <v>26</v>
      </c>
      <c r="I84" s="3" t="s">
        <v>611</v>
      </c>
      <c r="J84" s="4" t="s">
        <v>612</v>
      </c>
      <c r="K84" s="3"/>
      <c r="L84" s="5" t="s">
        <v>613</v>
      </c>
      <c r="M84" s="5" t="s">
        <v>98</v>
      </c>
      <c r="N84" s="5" t="s">
        <v>30</v>
      </c>
      <c r="O84" s="3" t="s">
        <v>614</v>
      </c>
      <c r="P84" s="3" t="s">
        <v>612</v>
      </c>
      <c r="Q84" s="3" t="s">
        <v>33</v>
      </c>
      <c r="R84" s="6"/>
      <c r="S84" s="3"/>
    </row>
    <row r="85" customFormat="false" ht="23.85" hidden="false" customHeight="false" outlineLevel="0" collapsed="false">
      <c r="A85" s="7" t="s">
        <v>471</v>
      </c>
      <c r="B85" s="3" t="s">
        <v>615</v>
      </c>
      <c r="C85" s="3" t="s">
        <v>21</v>
      </c>
      <c r="D85" s="3" t="s">
        <v>22</v>
      </c>
      <c r="E85" s="3" t="s">
        <v>23</v>
      </c>
      <c r="F85" s="3" t="s">
        <v>115</v>
      </c>
      <c r="G85" s="4" t="s">
        <v>616</v>
      </c>
      <c r="H85" s="3" t="s">
        <v>26</v>
      </c>
      <c r="I85" s="3" t="s">
        <v>617</v>
      </c>
      <c r="J85" s="4" t="s">
        <v>618</v>
      </c>
      <c r="K85" s="4" t="s">
        <v>619</v>
      </c>
      <c r="L85" s="5" t="s">
        <v>620</v>
      </c>
      <c r="M85" s="5" t="s">
        <v>98</v>
      </c>
      <c r="N85" s="5" t="s">
        <v>30</v>
      </c>
      <c r="O85" s="3" t="s">
        <v>621</v>
      </c>
      <c r="P85" s="3" t="s">
        <v>618</v>
      </c>
      <c r="Q85" s="3" t="s">
        <v>33</v>
      </c>
      <c r="R85" s="6"/>
      <c r="S85" s="3"/>
    </row>
    <row r="86" customFormat="false" ht="23.85" hidden="false" customHeight="false" outlineLevel="0" collapsed="false">
      <c r="A86" s="7" t="s">
        <v>471</v>
      </c>
      <c r="B86" s="3" t="s">
        <v>622</v>
      </c>
      <c r="C86" s="3" t="s">
        <v>21</v>
      </c>
      <c r="D86" s="3" t="s">
        <v>22</v>
      </c>
      <c r="E86" s="3" t="s">
        <v>23</v>
      </c>
      <c r="F86" s="3" t="s">
        <v>24</v>
      </c>
      <c r="G86" s="4" t="s">
        <v>623</v>
      </c>
      <c r="H86" s="3" t="s">
        <v>26</v>
      </c>
      <c r="I86" s="3" t="s">
        <v>624</v>
      </c>
      <c r="J86" s="4" t="s">
        <v>625</v>
      </c>
      <c r="K86" s="4" t="s">
        <v>626</v>
      </c>
      <c r="L86" s="5" t="s">
        <v>627</v>
      </c>
      <c r="M86" s="5" t="s">
        <v>98</v>
      </c>
      <c r="N86" s="5" t="s">
        <v>30</v>
      </c>
      <c r="O86" s="3" t="s">
        <v>628</v>
      </c>
      <c r="P86" s="3" t="s">
        <v>625</v>
      </c>
      <c r="Q86" s="3" t="s">
        <v>33</v>
      </c>
      <c r="R86" s="6"/>
      <c r="S86" s="3"/>
    </row>
    <row r="87" customFormat="false" ht="23.85" hidden="false" customHeight="false" outlineLevel="0" collapsed="false">
      <c r="A87" s="7" t="s">
        <v>471</v>
      </c>
      <c r="B87" s="3" t="s">
        <v>629</v>
      </c>
      <c r="C87" s="3" t="s">
        <v>113</v>
      </c>
      <c r="D87" s="3" t="s">
        <v>123</v>
      </c>
      <c r="E87" s="3" t="s">
        <v>23</v>
      </c>
      <c r="F87" s="3" t="s">
        <v>473</v>
      </c>
      <c r="G87" s="4" t="s">
        <v>630</v>
      </c>
      <c r="H87" s="3" t="s">
        <v>26</v>
      </c>
      <c r="I87" s="3" t="s">
        <v>631</v>
      </c>
      <c r="J87" s="4" t="s">
        <v>632</v>
      </c>
      <c r="K87" s="3"/>
      <c r="L87" s="5" t="s">
        <v>633</v>
      </c>
      <c r="M87" s="5" t="s">
        <v>478</v>
      </c>
      <c r="N87" s="5" t="s">
        <v>130</v>
      </c>
      <c r="O87" s="3" t="s">
        <v>634</v>
      </c>
      <c r="P87" s="3" t="s">
        <v>632</v>
      </c>
      <c r="Q87" s="3" t="s">
        <v>33</v>
      </c>
      <c r="R87" s="6"/>
      <c r="S87" s="3"/>
    </row>
    <row r="88" customFormat="false" ht="23.85" hidden="false" customHeight="false" outlineLevel="0" collapsed="false">
      <c r="A88" s="7" t="s">
        <v>471</v>
      </c>
      <c r="B88" s="3" t="s">
        <v>635</v>
      </c>
      <c r="C88" s="3" t="s">
        <v>113</v>
      </c>
      <c r="D88" s="3" t="s">
        <v>123</v>
      </c>
      <c r="E88" s="3" t="s">
        <v>23</v>
      </c>
      <c r="F88" s="3" t="s">
        <v>24</v>
      </c>
      <c r="G88" s="4" t="s">
        <v>636</v>
      </c>
      <c r="H88" s="3" t="s">
        <v>26</v>
      </c>
      <c r="I88" s="3"/>
      <c r="J88" s="4" t="s">
        <v>637</v>
      </c>
      <c r="K88" s="3"/>
      <c r="L88" s="5" t="s">
        <v>638</v>
      </c>
      <c r="M88" s="5" t="s">
        <v>478</v>
      </c>
      <c r="N88" s="5" t="s">
        <v>130</v>
      </c>
      <c r="O88" s="3" t="s">
        <v>639</v>
      </c>
      <c r="P88" s="3" t="s">
        <v>637</v>
      </c>
      <c r="Q88" s="3" t="s">
        <v>33</v>
      </c>
      <c r="R88" s="6"/>
      <c r="S88" s="3"/>
    </row>
    <row r="89" customFormat="false" ht="23.85" hidden="false" customHeight="false" outlineLevel="0" collapsed="false">
      <c r="A89" s="7" t="s">
        <v>471</v>
      </c>
      <c r="B89" s="3" t="s">
        <v>640</v>
      </c>
      <c r="C89" s="3" t="s">
        <v>113</v>
      </c>
      <c r="D89" s="3" t="s">
        <v>203</v>
      </c>
      <c r="E89" s="3" t="s">
        <v>23</v>
      </c>
      <c r="F89" s="3" t="s">
        <v>24</v>
      </c>
      <c r="G89" s="4" t="s">
        <v>641</v>
      </c>
      <c r="H89" s="3" t="s">
        <v>26</v>
      </c>
      <c r="I89" s="3" t="s">
        <v>642</v>
      </c>
      <c r="J89" s="4" t="s">
        <v>643</v>
      </c>
      <c r="K89" s="4" t="s">
        <v>644</v>
      </c>
      <c r="L89" s="5" t="s">
        <v>645</v>
      </c>
      <c r="M89" s="5" t="s">
        <v>646</v>
      </c>
      <c r="N89" s="5" t="s">
        <v>209</v>
      </c>
      <c r="O89" s="3" t="s">
        <v>647</v>
      </c>
      <c r="P89" s="3" t="s">
        <v>648</v>
      </c>
      <c r="Q89" s="3" t="s">
        <v>33</v>
      </c>
      <c r="R89" s="6"/>
      <c r="S89" s="3"/>
    </row>
    <row r="90" customFormat="false" ht="23.85" hidden="false" customHeight="false" outlineLevel="0" collapsed="false">
      <c r="A90" s="7" t="s">
        <v>471</v>
      </c>
      <c r="B90" s="3" t="s">
        <v>649</v>
      </c>
      <c r="C90" s="3" t="s">
        <v>113</v>
      </c>
      <c r="D90" s="3" t="s">
        <v>123</v>
      </c>
      <c r="E90" s="3" t="s">
        <v>23</v>
      </c>
      <c r="F90" s="3" t="s">
        <v>473</v>
      </c>
      <c r="G90" s="4" t="s">
        <v>650</v>
      </c>
      <c r="H90" s="3" t="s">
        <v>26</v>
      </c>
      <c r="I90" s="3" t="s">
        <v>651</v>
      </c>
      <c r="J90" s="4" t="s">
        <v>652</v>
      </c>
      <c r="K90" s="3"/>
      <c r="L90" s="5" t="s">
        <v>653</v>
      </c>
      <c r="M90" s="5" t="s">
        <v>478</v>
      </c>
      <c r="N90" s="5" t="s">
        <v>130</v>
      </c>
      <c r="O90" s="3" t="s">
        <v>654</v>
      </c>
      <c r="P90" s="3" t="s">
        <v>652</v>
      </c>
      <c r="Q90" s="3" t="s">
        <v>33</v>
      </c>
      <c r="R90" s="6"/>
      <c r="S90" s="3"/>
    </row>
    <row r="91" customFormat="false" ht="23.85" hidden="false" customHeight="false" outlineLevel="0" collapsed="false">
      <c r="A91" s="7" t="s">
        <v>471</v>
      </c>
      <c r="B91" s="3" t="s">
        <v>655</v>
      </c>
      <c r="C91" s="3" t="s">
        <v>113</v>
      </c>
      <c r="D91" s="3" t="s">
        <v>123</v>
      </c>
      <c r="E91" s="3" t="s">
        <v>23</v>
      </c>
      <c r="F91" s="3" t="s">
        <v>115</v>
      </c>
      <c r="G91" s="4" t="s">
        <v>656</v>
      </c>
      <c r="H91" s="3" t="s">
        <v>26</v>
      </c>
      <c r="I91" s="3" t="s">
        <v>657</v>
      </c>
      <c r="J91" s="4" t="s">
        <v>658</v>
      </c>
      <c r="K91" s="4" t="s">
        <v>659</v>
      </c>
      <c r="L91" s="5" t="s">
        <v>660</v>
      </c>
      <c r="M91" s="5" t="s">
        <v>478</v>
      </c>
      <c r="N91" s="5" t="s">
        <v>130</v>
      </c>
      <c r="O91" s="3" t="s">
        <v>661</v>
      </c>
      <c r="P91" s="3" t="s">
        <v>658</v>
      </c>
      <c r="Q91" s="3" t="s">
        <v>33</v>
      </c>
      <c r="R91" s="6"/>
      <c r="S91" s="3"/>
    </row>
    <row r="92" customFormat="false" ht="23.85" hidden="false" customHeight="false" outlineLevel="0" collapsed="false">
      <c r="A92" s="7" t="s">
        <v>471</v>
      </c>
      <c r="B92" s="3" t="s">
        <v>662</v>
      </c>
      <c r="C92" s="3" t="s">
        <v>21</v>
      </c>
      <c r="D92" s="3" t="s">
        <v>22</v>
      </c>
      <c r="E92" s="3" t="s">
        <v>279</v>
      </c>
      <c r="F92" s="3" t="s">
        <v>280</v>
      </c>
      <c r="G92" s="4" t="s">
        <v>663</v>
      </c>
      <c r="H92" s="3" t="s">
        <v>26</v>
      </c>
      <c r="I92" s="3" t="s">
        <v>664</v>
      </c>
      <c r="J92" s="4" t="s">
        <v>665</v>
      </c>
      <c r="K92" s="3"/>
      <c r="L92" s="5" t="s">
        <v>666</v>
      </c>
      <c r="M92" s="5" t="s">
        <v>98</v>
      </c>
      <c r="N92" s="5" t="s">
        <v>30</v>
      </c>
      <c r="O92" s="3" t="s">
        <v>667</v>
      </c>
      <c r="P92" s="3" t="s">
        <v>665</v>
      </c>
      <c r="Q92" s="3" t="s">
        <v>33</v>
      </c>
      <c r="R92" s="6"/>
      <c r="S92" s="3"/>
    </row>
    <row r="93" customFormat="false" ht="35.05" hidden="false" customHeight="false" outlineLevel="0" collapsed="false">
      <c r="A93" s="7" t="s">
        <v>471</v>
      </c>
      <c r="B93" s="3" t="s">
        <v>668</v>
      </c>
      <c r="C93" s="3" t="s">
        <v>21</v>
      </c>
      <c r="D93" s="3" t="s">
        <v>52</v>
      </c>
      <c r="E93" s="3" t="s">
        <v>228</v>
      </c>
      <c r="F93" s="3" t="s">
        <v>263</v>
      </c>
      <c r="G93" s="4" t="s">
        <v>669</v>
      </c>
      <c r="H93" s="3" t="s">
        <v>26</v>
      </c>
      <c r="I93" s="3" t="s">
        <v>670</v>
      </c>
      <c r="J93" s="4" t="s">
        <v>671</v>
      </c>
      <c r="K93" s="3"/>
      <c r="L93" s="5" t="s">
        <v>672</v>
      </c>
      <c r="M93" s="5" t="s">
        <v>478</v>
      </c>
      <c r="N93" s="5" t="s">
        <v>56</v>
      </c>
      <c r="O93" s="3" t="s">
        <v>673</v>
      </c>
      <c r="P93" s="3" t="s">
        <v>671</v>
      </c>
      <c r="Q93" s="3" t="s">
        <v>33</v>
      </c>
      <c r="R93" s="6"/>
      <c r="S93" s="3"/>
    </row>
    <row r="94" customFormat="false" ht="23.85" hidden="false" customHeight="false" outlineLevel="0" collapsed="false">
      <c r="A94" s="7" t="s">
        <v>471</v>
      </c>
      <c r="B94" s="3" t="s">
        <v>674</v>
      </c>
      <c r="C94" s="3" t="s">
        <v>21</v>
      </c>
      <c r="D94" s="3" t="s">
        <v>60</v>
      </c>
      <c r="E94" s="3" t="s">
        <v>322</v>
      </c>
      <c r="F94" s="3" t="s">
        <v>463</v>
      </c>
      <c r="G94" s="4" t="s">
        <v>675</v>
      </c>
      <c r="H94" s="3" t="s">
        <v>26</v>
      </c>
      <c r="I94" s="3" t="s">
        <v>676</v>
      </c>
      <c r="J94" s="4" t="s">
        <v>677</v>
      </c>
      <c r="K94" s="3"/>
      <c r="L94" s="5" t="s">
        <v>678</v>
      </c>
      <c r="M94" s="5" t="s">
        <v>478</v>
      </c>
      <c r="N94" s="5" t="s">
        <v>67</v>
      </c>
      <c r="O94" s="3" t="s">
        <v>679</v>
      </c>
      <c r="P94" s="3" t="s">
        <v>680</v>
      </c>
      <c r="Q94" s="3" t="s">
        <v>33</v>
      </c>
      <c r="R94" s="6"/>
      <c r="S94" s="3"/>
    </row>
    <row r="95" customFormat="false" ht="23.85" hidden="false" customHeight="false" outlineLevel="0" collapsed="false">
      <c r="A95" s="7" t="s">
        <v>471</v>
      </c>
      <c r="B95" s="3" t="s">
        <v>681</v>
      </c>
      <c r="C95" s="3" t="s">
        <v>21</v>
      </c>
      <c r="D95" s="3" t="s">
        <v>22</v>
      </c>
      <c r="E95" s="3" t="s">
        <v>279</v>
      </c>
      <c r="F95" s="3" t="s">
        <v>280</v>
      </c>
      <c r="G95" s="4" t="s">
        <v>682</v>
      </c>
      <c r="H95" s="3" t="s">
        <v>26</v>
      </c>
      <c r="I95" s="3" t="s">
        <v>683</v>
      </c>
      <c r="J95" s="4" t="s">
        <v>684</v>
      </c>
      <c r="K95" s="4" t="s">
        <v>685</v>
      </c>
      <c r="L95" s="5" t="s">
        <v>686</v>
      </c>
      <c r="M95" s="5" t="s">
        <v>98</v>
      </c>
      <c r="N95" s="5" t="s">
        <v>30</v>
      </c>
      <c r="O95" s="3" t="s">
        <v>687</v>
      </c>
      <c r="P95" s="3" t="s">
        <v>684</v>
      </c>
      <c r="Q95" s="3" t="s">
        <v>33</v>
      </c>
      <c r="R95" s="6"/>
      <c r="S95" s="3"/>
    </row>
    <row r="96" customFormat="false" ht="35.05" hidden="false" customHeight="false" outlineLevel="0" collapsed="false">
      <c r="A96" s="7" t="s">
        <v>471</v>
      </c>
      <c r="B96" s="3" t="s">
        <v>688</v>
      </c>
      <c r="C96" s="3" t="s">
        <v>21</v>
      </c>
      <c r="D96" s="3" t="s">
        <v>22</v>
      </c>
      <c r="E96" s="3" t="s">
        <v>287</v>
      </c>
      <c r="F96" s="3" t="s">
        <v>689</v>
      </c>
      <c r="G96" s="4" t="s">
        <v>690</v>
      </c>
      <c r="H96" s="3" t="s">
        <v>26</v>
      </c>
      <c r="I96" s="3" t="s">
        <v>691</v>
      </c>
      <c r="J96" s="4" t="s">
        <v>692</v>
      </c>
      <c r="K96" s="3"/>
      <c r="L96" s="5" t="s">
        <v>693</v>
      </c>
      <c r="M96" s="5" t="s">
        <v>98</v>
      </c>
      <c r="N96" s="5" t="s">
        <v>30</v>
      </c>
      <c r="O96" s="3" t="s">
        <v>694</v>
      </c>
      <c r="P96" s="3" t="s">
        <v>692</v>
      </c>
      <c r="Q96" s="3" t="s">
        <v>33</v>
      </c>
      <c r="R96" s="6"/>
      <c r="S96" s="3"/>
    </row>
    <row r="97" customFormat="false" ht="23.85" hidden="false" customHeight="false" outlineLevel="0" collapsed="false">
      <c r="A97" s="7" t="s">
        <v>471</v>
      </c>
      <c r="B97" s="3" t="s">
        <v>695</v>
      </c>
      <c r="C97" s="3" t="s">
        <v>21</v>
      </c>
      <c r="D97" s="3" t="s">
        <v>35</v>
      </c>
      <c r="E97" s="3" t="s">
        <v>287</v>
      </c>
      <c r="F97" s="3" t="s">
        <v>696</v>
      </c>
      <c r="G97" s="4" t="s">
        <v>697</v>
      </c>
      <c r="H97" s="3" t="s">
        <v>26</v>
      </c>
      <c r="I97" s="3" t="s">
        <v>698</v>
      </c>
      <c r="J97" s="4" t="s">
        <v>699</v>
      </c>
      <c r="K97" s="4" t="s">
        <v>700</v>
      </c>
      <c r="L97" s="5" t="s">
        <v>701</v>
      </c>
      <c r="M97" s="5" t="s">
        <v>478</v>
      </c>
      <c r="N97" s="5" t="s">
        <v>42</v>
      </c>
      <c r="O97" s="3" t="s">
        <v>702</v>
      </c>
      <c r="P97" s="3" t="s">
        <v>699</v>
      </c>
      <c r="Q97" s="3" t="s">
        <v>33</v>
      </c>
      <c r="R97" s="6"/>
      <c r="S97" s="3"/>
    </row>
    <row r="98" customFormat="false" ht="23.85" hidden="false" customHeight="false" outlineLevel="0" collapsed="false">
      <c r="A98" s="7" t="s">
        <v>471</v>
      </c>
      <c r="B98" s="3" t="s">
        <v>703</v>
      </c>
      <c r="C98" s="3" t="s">
        <v>21</v>
      </c>
      <c r="D98" s="3" t="s">
        <v>22</v>
      </c>
      <c r="E98" s="3" t="s">
        <v>228</v>
      </c>
      <c r="F98" s="3" t="s">
        <v>263</v>
      </c>
      <c r="G98" s="4" t="s">
        <v>704</v>
      </c>
      <c r="H98" s="3" t="s">
        <v>26</v>
      </c>
      <c r="I98" s="3" t="s">
        <v>705</v>
      </c>
      <c r="J98" s="4" t="s">
        <v>706</v>
      </c>
      <c r="K98" s="4" t="s">
        <v>707</v>
      </c>
      <c r="L98" s="5" t="s">
        <v>708</v>
      </c>
      <c r="M98" s="5" t="s">
        <v>98</v>
      </c>
      <c r="N98" s="5" t="s">
        <v>30</v>
      </c>
      <c r="O98" s="3" t="s">
        <v>709</v>
      </c>
      <c r="P98" s="3" t="s">
        <v>706</v>
      </c>
      <c r="Q98" s="3" t="s">
        <v>33</v>
      </c>
      <c r="R98" s="6"/>
      <c r="S98" s="3"/>
    </row>
    <row r="99" customFormat="false" ht="23.85" hidden="false" customHeight="false" outlineLevel="0" collapsed="false">
      <c r="A99" s="7" t="s">
        <v>471</v>
      </c>
      <c r="B99" s="3" t="s">
        <v>710</v>
      </c>
      <c r="C99" s="3" t="s">
        <v>21</v>
      </c>
      <c r="D99" s="3" t="s">
        <v>22</v>
      </c>
      <c r="E99" s="3" t="s">
        <v>279</v>
      </c>
      <c r="F99" s="3" t="s">
        <v>280</v>
      </c>
      <c r="G99" s="4" t="s">
        <v>711</v>
      </c>
      <c r="H99" s="3" t="s">
        <v>26</v>
      </c>
      <c r="I99" s="3" t="s">
        <v>712</v>
      </c>
      <c r="J99" s="4" t="s">
        <v>713</v>
      </c>
      <c r="K99" s="4" t="s">
        <v>714</v>
      </c>
      <c r="L99" s="5" t="s">
        <v>715</v>
      </c>
      <c r="M99" s="5" t="s">
        <v>98</v>
      </c>
      <c r="N99" s="5" t="s">
        <v>30</v>
      </c>
      <c r="O99" s="3" t="s">
        <v>716</v>
      </c>
      <c r="P99" s="3" t="s">
        <v>713</v>
      </c>
      <c r="Q99" s="3" t="s">
        <v>33</v>
      </c>
      <c r="R99" s="6"/>
      <c r="S99" s="3"/>
    </row>
    <row r="100" customFormat="false" ht="23.85" hidden="false" customHeight="false" outlineLevel="0" collapsed="false">
      <c r="A100" s="7" t="s">
        <v>471</v>
      </c>
      <c r="B100" s="3" t="s">
        <v>717</v>
      </c>
      <c r="C100" s="3" t="s">
        <v>21</v>
      </c>
      <c r="D100" s="3" t="s">
        <v>22</v>
      </c>
      <c r="E100" s="3" t="s">
        <v>322</v>
      </c>
      <c r="F100" s="3" t="s">
        <v>463</v>
      </c>
      <c r="G100" s="4" t="s">
        <v>718</v>
      </c>
      <c r="H100" s="3" t="s">
        <v>719</v>
      </c>
      <c r="I100" s="3" t="s">
        <v>720</v>
      </c>
      <c r="J100" s="4" t="s">
        <v>721</v>
      </c>
      <c r="K100" s="3"/>
      <c r="L100" s="5" t="s">
        <v>722</v>
      </c>
      <c r="M100" s="5" t="s">
        <v>98</v>
      </c>
      <c r="N100" s="5" t="s">
        <v>30</v>
      </c>
      <c r="O100" s="3" t="s">
        <v>723</v>
      </c>
      <c r="P100" s="3" t="s">
        <v>721</v>
      </c>
      <c r="Q100" s="3" t="s">
        <v>33</v>
      </c>
      <c r="R100" s="6"/>
      <c r="S100" s="3"/>
    </row>
    <row r="101" customFormat="false" ht="23.85" hidden="false" customHeight="false" outlineLevel="0" collapsed="false">
      <c r="A101" s="7" t="s">
        <v>471</v>
      </c>
      <c r="B101" s="3" t="s">
        <v>724</v>
      </c>
      <c r="C101" s="3" t="s">
        <v>21</v>
      </c>
      <c r="D101" s="3" t="s">
        <v>60</v>
      </c>
      <c r="E101" s="3" t="s">
        <v>287</v>
      </c>
      <c r="F101" s="3" t="s">
        <v>725</v>
      </c>
      <c r="G101" s="4" t="s">
        <v>726</v>
      </c>
      <c r="H101" s="3" t="s">
        <v>26</v>
      </c>
      <c r="I101" s="3" t="s">
        <v>727</v>
      </c>
      <c r="J101" s="4" t="s">
        <v>728</v>
      </c>
      <c r="K101" s="4" t="s">
        <v>729</v>
      </c>
      <c r="L101" s="5" t="s">
        <v>730</v>
      </c>
      <c r="M101" s="5" t="s">
        <v>478</v>
      </c>
      <c r="N101" s="5" t="s">
        <v>67</v>
      </c>
      <c r="O101" s="3" t="s">
        <v>731</v>
      </c>
      <c r="P101" s="3" t="s">
        <v>728</v>
      </c>
      <c r="Q101" s="3" t="s">
        <v>33</v>
      </c>
      <c r="R101" s="6"/>
      <c r="S101" s="3"/>
    </row>
    <row r="102" customFormat="false" ht="35.05" hidden="false" customHeight="false" outlineLevel="0" collapsed="false">
      <c r="A102" s="7" t="s">
        <v>471</v>
      </c>
      <c r="B102" s="3" t="s">
        <v>732</v>
      </c>
      <c r="C102" s="3" t="s">
        <v>21</v>
      </c>
      <c r="D102" s="3" t="s">
        <v>60</v>
      </c>
      <c r="E102" s="3" t="s">
        <v>228</v>
      </c>
      <c r="F102" s="3" t="s">
        <v>263</v>
      </c>
      <c r="G102" s="4" t="s">
        <v>733</v>
      </c>
      <c r="H102" s="3" t="s">
        <v>26</v>
      </c>
      <c r="I102" s="3" t="s">
        <v>734</v>
      </c>
      <c r="J102" s="4" t="s">
        <v>735</v>
      </c>
      <c r="K102" s="3"/>
      <c r="L102" s="5" t="s">
        <v>736</v>
      </c>
      <c r="M102" s="5" t="s">
        <v>478</v>
      </c>
      <c r="N102" s="5" t="s">
        <v>67</v>
      </c>
      <c r="O102" s="3" t="s">
        <v>737</v>
      </c>
      <c r="P102" s="3" t="s">
        <v>735</v>
      </c>
      <c r="Q102" s="3" t="s">
        <v>33</v>
      </c>
      <c r="R102" s="6"/>
      <c r="S102" s="3"/>
    </row>
    <row r="103" customFormat="false" ht="23.85" hidden="false" customHeight="false" outlineLevel="0" collapsed="false">
      <c r="A103" s="7" t="s">
        <v>471</v>
      </c>
      <c r="B103" s="3" t="s">
        <v>738</v>
      </c>
      <c r="C103" s="3" t="s">
        <v>21</v>
      </c>
      <c r="D103" s="3" t="s">
        <v>22</v>
      </c>
      <c r="E103" s="3" t="s">
        <v>279</v>
      </c>
      <c r="F103" s="3" t="s">
        <v>280</v>
      </c>
      <c r="G103" s="4" t="s">
        <v>739</v>
      </c>
      <c r="H103" s="3" t="s">
        <v>26</v>
      </c>
      <c r="I103" s="3" t="s">
        <v>740</v>
      </c>
      <c r="J103" s="4" t="s">
        <v>741</v>
      </c>
      <c r="K103" s="3"/>
      <c r="L103" s="5" t="s">
        <v>742</v>
      </c>
      <c r="M103" s="5" t="s">
        <v>98</v>
      </c>
      <c r="N103" s="5" t="s">
        <v>30</v>
      </c>
      <c r="O103" s="3" t="s">
        <v>743</v>
      </c>
      <c r="P103" s="3" t="s">
        <v>741</v>
      </c>
      <c r="Q103" s="3" t="s">
        <v>33</v>
      </c>
      <c r="R103" s="6"/>
      <c r="S103" s="3"/>
    </row>
    <row r="104" customFormat="false" ht="35.05" hidden="false" customHeight="false" outlineLevel="0" collapsed="false">
      <c r="A104" s="7" t="s">
        <v>471</v>
      </c>
      <c r="B104" s="3" t="s">
        <v>744</v>
      </c>
      <c r="C104" s="3" t="s">
        <v>21</v>
      </c>
      <c r="D104" s="3" t="s">
        <v>60</v>
      </c>
      <c r="E104" s="3" t="s">
        <v>279</v>
      </c>
      <c r="F104" s="3" t="s">
        <v>280</v>
      </c>
      <c r="G104" s="4" t="s">
        <v>745</v>
      </c>
      <c r="H104" s="3" t="s">
        <v>26</v>
      </c>
      <c r="I104" s="3" t="s">
        <v>746</v>
      </c>
      <c r="J104" s="4" t="s">
        <v>747</v>
      </c>
      <c r="K104" s="4" t="s">
        <v>748</v>
      </c>
      <c r="L104" s="5" t="s">
        <v>749</v>
      </c>
      <c r="M104" s="5" t="s">
        <v>478</v>
      </c>
      <c r="N104" s="5" t="s">
        <v>67</v>
      </c>
      <c r="O104" s="3" t="s">
        <v>750</v>
      </c>
      <c r="P104" s="3" t="s">
        <v>747</v>
      </c>
      <c r="Q104" s="3" t="s">
        <v>33</v>
      </c>
      <c r="R104" s="6"/>
      <c r="S104" s="3"/>
    </row>
    <row r="105" customFormat="false" ht="23.85" hidden="false" customHeight="false" outlineLevel="0" collapsed="false">
      <c r="A105" s="7" t="s">
        <v>471</v>
      </c>
      <c r="B105" s="3" t="s">
        <v>751</v>
      </c>
      <c r="C105" s="3" t="s">
        <v>21</v>
      </c>
      <c r="D105" s="3" t="s">
        <v>35</v>
      </c>
      <c r="E105" s="3" t="s">
        <v>228</v>
      </c>
      <c r="F105" s="3" t="s">
        <v>263</v>
      </c>
      <c r="G105" s="4" t="s">
        <v>752</v>
      </c>
      <c r="H105" s="3" t="s">
        <v>26</v>
      </c>
      <c r="I105" s="3" t="s">
        <v>753</v>
      </c>
      <c r="J105" s="4" t="s">
        <v>754</v>
      </c>
      <c r="K105" s="3"/>
      <c r="L105" s="5" t="s">
        <v>755</v>
      </c>
      <c r="M105" s="5" t="s">
        <v>478</v>
      </c>
      <c r="N105" s="5" t="s">
        <v>42</v>
      </c>
      <c r="O105" s="3" t="s">
        <v>756</v>
      </c>
      <c r="P105" s="3" t="s">
        <v>754</v>
      </c>
      <c r="Q105" s="3" t="s">
        <v>33</v>
      </c>
      <c r="R105" s="6"/>
      <c r="S105" s="3"/>
    </row>
    <row r="106" customFormat="false" ht="23.85" hidden="false" customHeight="false" outlineLevel="0" collapsed="false">
      <c r="A106" s="7" t="s">
        <v>471</v>
      </c>
      <c r="B106" s="3" t="s">
        <v>757</v>
      </c>
      <c r="C106" s="3" t="s">
        <v>21</v>
      </c>
      <c r="D106" s="3" t="s">
        <v>60</v>
      </c>
      <c r="E106" s="3" t="s">
        <v>236</v>
      </c>
      <c r="F106" s="3" t="s">
        <v>237</v>
      </c>
      <c r="G106" s="4" t="s">
        <v>758</v>
      </c>
      <c r="H106" s="3" t="s">
        <v>26</v>
      </c>
      <c r="I106" s="3" t="s">
        <v>759</v>
      </c>
      <c r="J106" s="4" t="s">
        <v>760</v>
      </c>
      <c r="K106" s="3"/>
      <c r="L106" s="5" t="s">
        <v>761</v>
      </c>
      <c r="M106" s="5" t="s">
        <v>478</v>
      </c>
      <c r="N106" s="5" t="s">
        <v>67</v>
      </c>
      <c r="O106" s="3" t="s">
        <v>762</v>
      </c>
      <c r="P106" s="3" t="s">
        <v>760</v>
      </c>
      <c r="Q106" s="3" t="s">
        <v>33</v>
      </c>
      <c r="R106" s="6"/>
      <c r="S106" s="3"/>
    </row>
    <row r="107" customFormat="false" ht="35.05" hidden="false" customHeight="false" outlineLevel="0" collapsed="false">
      <c r="A107" s="7" t="s">
        <v>471</v>
      </c>
      <c r="B107" s="3" t="s">
        <v>763</v>
      </c>
      <c r="C107" s="3" t="s">
        <v>21</v>
      </c>
      <c r="D107" s="3" t="s">
        <v>60</v>
      </c>
      <c r="E107" s="3" t="s">
        <v>228</v>
      </c>
      <c r="F107" s="3" t="s">
        <v>263</v>
      </c>
      <c r="G107" s="4" t="s">
        <v>764</v>
      </c>
      <c r="H107" s="3" t="s">
        <v>26</v>
      </c>
      <c r="I107" s="3" t="s">
        <v>765</v>
      </c>
      <c r="J107" s="4" t="s">
        <v>766</v>
      </c>
      <c r="K107" s="3"/>
      <c r="L107" s="5" t="s">
        <v>767</v>
      </c>
      <c r="M107" s="5" t="s">
        <v>478</v>
      </c>
      <c r="N107" s="5" t="s">
        <v>67</v>
      </c>
      <c r="O107" s="3" t="s">
        <v>768</v>
      </c>
      <c r="P107" s="3" t="s">
        <v>766</v>
      </c>
      <c r="Q107" s="3" t="s">
        <v>33</v>
      </c>
      <c r="R107" s="6"/>
      <c r="S107" s="3"/>
    </row>
    <row r="108" customFormat="false" ht="23.85" hidden="false" customHeight="false" outlineLevel="0" collapsed="false">
      <c r="A108" s="7" t="s">
        <v>471</v>
      </c>
      <c r="B108" s="3" t="s">
        <v>769</v>
      </c>
      <c r="C108" s="3" t="s">
        <v>21</v>
      </c>
      <c r="D108" s="3" t="s">
        <v>22</v>
      </c>
      <c r="E108" s="3" t="s">
        <v>287</v>
      </c>
      <c r="F108" s="3" t="s">
        <v>725</v>
      </c>
      <c r="G108" s="4" t="s">
        <v>770</v>
      </c>
      <c r="H108" s="3" t="s">
        <v>26</v>
      </c>
      <c r="I108" s="3" t="s">
        <v>771</v>
      </c>
      <c r="J108" s="4" t="s">
        <v>772</v>
      </c>
      <c r="K108" s="4" t="s">
        <v>773</v>
      </c>
      <c r="L108" s="5" t="s">
        <v>774</v>
      </c>
      <c r="M108" s="5" t="s">
        <v>98</v>
      </c>
      <c r="N108" s="5" t="s">
        <v>30</v>
      </c>
      <c r="O108" s="3" t="s">
        <v>775</v>
      </c>
      <c r="P108" s="3" t="s">
        <v>772</v>
      </c>
      <c r="Q108" s="3" t="s">
        <v>33</v>
      </c>
      <c r="R108" s="6"/>
      <c r="S108" s="3"/>
    </row>
    <row r="109" customFormat="false" ht="23.85" hidden="false" customHeight="false" outlineLevel="0" collapsed="false">
      <c r="A109" s="7" t="s">
        <v>471</v>
      </c>
      <c r="B109" s="3" t="s">
        <v>776</v>
      </c>
      <c r="C109" s="3" t="s">
        <v>21</v>
      </c>
      <c r="D109" s="3" t="s">
        <v>22</v>
      </c>
      <c r="E109" s="3" t="s">
        <v>245</v>
      </c>
      <c r="F109" s="3" t="s">
        <v>271</v>
      </c>
      <c r="G109" s="4" t="s">
        <v>777</v>
      </c>
      <c r="H109" s="3" t="s">
        <v>26</v>
      </c>
      <c r="I109" s="3" t="s">
        <v>778</v>
      </c>
      <c r="J109" s="4" t="s">
        <v>779</v>
      </c>
      <c r="K109" s="4" t="s">
        <v>780</v>
      </c>
      <c r="L109" s="5" t="s">
        <v>781</v>
      </c>
      <c r="M109" s="5" t="s">
        <v>98</v>
      </c>
      <c r="N109" s="5" t="s">
        <v>30</v>
      </c>
      <c r="O109" s="3" t="s">
        <v>782</v>
      </c>
      <c r="P109" s="3" t="s">
        <v>779</v>
      </c>
      <c r="Q109" s="3" t="s">
        <v>33</v>
      </c>
      <c r="R109" s="6"/>
      <c r="S109" s="3"/>
    </row>
    <row r="110" customFormat="false" ht="35.05" hidden="false" customHeight="false" outlineLevel="0" collapsed="false">
      <c r="A110" s="7" t="s">
        <v>471</v>
      </c>
      <c r="B110" s="3" t="s">
        <v>783</v>
      </c>
      <c r="C110" s="3" t="s">
        <v>21</v>
      </c>
      <c r="D110" s="3" t="s">
        <v>52</v>
      </c>
      <c r="E110" s="3" t="s">
        <v>784</v>
      </c>
      <c r="F110" s="3" t="s">
        <v>785</v>
      </c>
      <c r="G110" s="4" t="s">
        <v>786</v>
      </c>
      <c r="H110" s="3" t="s">
        <v>26</v>
      </c>
      <c r="I110" s="3" t="s">
        <v>787</v>
      </c>
      <c r="J110" s="4" t="s">
        <v>788</v>
      </c>
      <c r="K110" s="3"/>
      <c r="L110" s="5" t="s">
        <v>789</v>
      </c>
      <c r="M110" s="5" t="s">
        <v>478</v>
      </c>
      <c r="N110" s="5" t="s">
        <v>56</v>
      </c>
      <c r="O110" s="3" t="s">
        <v>790</v>
      </c>
      <c r="P110" s="3" t="s">
        <v>788</v>
      </c>
      <c r="Q110" s="3" t="s">
        <v>33</v>
      </c>
      <c r="R110" s="6"/>
      <c r="S110" s="3"/>
    </row>
    <row r="111" customFormat="false" ht="23.85" hidden="false" customHeight="false" outlineLevel="0" collapsed="false">
      <c r="A111" s="7" t="s">
        <v>471</v>
      </c>
      <c r="B111" s="3" t="s">
        <v>791</v>
      </c>
      <c r="C111" s="3" t="s">
        <v>21</v>
      </c>
      <c r="D111" s="3" t="s">
        <v>22</v>
      </c>
      <c r="E111" s="3" t="s">
        <v>287</v>
      </c>
      <c r="F111" s="3" t="s">
        <v>725</v>
      </c>
      <c r="G111" s="4" t="s">
        <v>792</v>
      </c>
      <c r="H111" s="3" t="s">
        <v>26</v>
      </c>
      <c r="I111" s="3" t="s">
        <v>793</v>
      </c>
      <c r="J111" s="4" t="s">
        <v>794</v>
      </c>
      <c r="K111" s="4" t="s">
        <v>795</v>
      </c>
      <c r="L111" s="5" t="s">
        <v>796</v>
      </c>
      <c r="M111" s="5" t="s">
        <v>98</v>
      </c>
      <c r="N111" s="5" t="s">
        <v>30</v>
      </c>
      <c r="O111" s="3" t="s">
        <v>797</v>
      </c>
      <c r="P111" s="3" t="s">
        <v>794</v>
      </c>
      <c r="Q111" s="3" t="s">
        <v>33</v>
      </c>
      <c r="R111" s="6"/>
      <c r="S111" s="3"/>
    </row>
    <row r="112" customFormat="false" ht="23.85" hidden="false" customHeight="false" outlineLevel="0" collapsed="false">
      <c r="A112" s="7" t="s">
        <v>471</v>
      </c>
      <c r="B112" s="3" t="s">
        <v>798</v>
      </c>
      <c r="C112" s="3" t="s">
        <v>21</v>
      </c>
      <c r="D112" s="3" t="s">
        <v>22</v>
      </c>
      <c r="E112" s="3" t="s">
        <v>799</v>
      </c>
      <c r="F112" s="3" t="s">
        <v>800</v>
      </c>
      <c r="G112" s="4" t="s">
        <v>801</v>
      </c>
      <c r="H112" s="3" t="s">
        <v>26</v>
      </c>
      <c r="I112" s="3"/>
      <c r="J112" s="4" t="s">
        <v>802</v>
      </c>
      <c r="K112" s="3"/>
      <c r="L112" s="5" t="s">
        <v>803</v>
      </c>
      <c r="M112" s="5" t="s">
        <v>98</v>
      </c>
      <c r="N112" s="5" t="s">
        <v>30</v>
      </c>
      <c r="O112" s="3" t="s">
        <v>804</v>
      </c>
      <c r="P112" s="3" t="s">
        <v>802</v>
      </c>
      <c r="Q112" s="3" t="s">
        <v>33</v>
      </c>
      <c r="R112" s="6"/>
      <c r="S112" s="3"/>
    </row>
    <row r="113" customFormat="false" ht="35.05" hidden="false" customHeight="false" outlineLevel="0" collapsed="false">
      <c r="A113" s="7" t="s">
        <v>471</v>
      </c>
      <c r="B113" s="3" t="s">
        <v>805</v>
      </c>
      <c r="C113" s="3" t="s">
        <v>21</v>
      </c>
      <c r="D113" s="3" t="s">
        <v>22</v>
      </c>
      <c r="E113" s="3" t="s">
        <v>279</v>
      </c>
      <c r="F113" s="3" t="s">
        <v>280</v>
      </c>
      <c r="G113" s="4" t="s">
        <v>806</v>
      </c>
      <c r="H113" s="3" t="s">
        <v>26</v>
      </c>
      <c r="I113" s="3" t="s">
        <v>807</v>
      </c>
      <c r="J113" s="4" t="s">
        <v>808</v>
      </c>
      <c r="K113" s="3"/>
      <c r="L113" s="5" t="s">
        <v>809</v>
      </c>
      <c r="M113" s="5" t="s">
        <v>98</v>
      </c>
      <c r="N113" s="5" t="s">
        <v>30</v>
      </c>
      <c r="O113" s="3" t="s">
        <v>810</v>
      </c>
      <c r="P113" s="3" t="s">
        <v>808</v>
      </c>
      <c r="Q113" s="3" t="s">
        <v>33</v>
      </c>
      <c r="R113" s="6"/>
      <c r="S113" s="3"/>
    </row>
    <row r="114" customFormat="false" ht="23.85" hidden="false" customHeight="false" outlineLevel="0" collapsed="false">
      <c r="A114" s="7" t="s">
        <v>471</v>
      </c>
      <c r="B114" s="3" t="s">
        <v>811</v>
      </c>
      <c r="C114" s="3" t="s">
        <v>21</v>
      </c>
      <c r="D114" s="3" t="s">
        <v>52</v>
      </c>
      <c r="E114" s="3" t="s">
        <v>228</v>
      </c>
      <c r="F114" s="3" t="s">
        <v>263</v>
      </c>
      <c r="G114" s="4" t="s">
        <v>812</v>
      </c>
      <c r="H114" s="3" t="s">
        <v>26</v>
      </c>
      <c r="I114" s="3" t="s">
        <v>813</v>
      </c>
      <c r="J114" s="4" t="s">
        <v>814</v>
      </c>
      <c r="K114" s="3"/>
      <c r="L114" s="5" t="s">
        <v>815</v>
      </c>
      <c r="M114" s="5" t="s">
        <v>478</v>
      </c>
      <c r="N114" s="5" t="s">
        <v>56</v>
      </c>
      <c r="O114" s="3" t="s">
        <v>816</v>
      </c>
      <c r="P114" s="3" t="s">
        <v>814</v>
      </c>
      <c r="Q114" s="3" t="s">
        <v>33</v>
      </c>
      <c r="R114" s="6"/>
      <c r="S114" s="3"/>
    </row>
    <row r="115" customFormat="false" ht="23.85" hidden="false" customHeight="false" outlineLevel="0" collapsed="false">
      <c r="A115" s="7" t="s">
        <v>471</v>
      </c>
      <c r="B115" s="3" t="s">
        <v>817</v>
      </c>
      <c r="C115" s="3" t="s">
        <v>113</v>
      </c>
      <c r="D115" s="3" t="s">
        <v>123</v>
      </c>
      <c r="E115" s="3" t="s">
        <v>799</v>
      </c>
      <c r="F115" s="3" t="s">
        <v>800</v>
      </c>
      <c r="G115" s="4" t="s">
        <v>818</v>
      </c>
      <c r="H115" s="3" t="s">
        <v>26</v>
      </c>
      <c r="I115" s="3" t="s">
        <v>819</v>
      </c>
      <c r="J115" s="4" t="s">
        <v>820</v>
      </c>
      <c r="K115" s="3"/>
      <c r="L115" s="5" t="s">
        <v>821</v>
      </c>
      <c r="M115" s="5" t="s">
        <v>478</v>
      </c>
      <c r="N115" s="5" t="s">
        <v>130</v>
      </c>
      <c r="O115" s="3" t="s">
        <v>822</v>
      </c>
      <c r="P115" s="3" t="s">
        <v>820</v>
      </c>
      <c r="Q115" s="3" t="s">
        <v>33</v>
      </c>
      <c r="R115" s="6"/>
      <c r="S115" s="3"/>
    </row>
    <row r="116" customFormat="false" ht="23.85" hidden="false" customHeight="false" outlineLevel="0" collapsed="false">
      <c r="A116" s="7" t="s">
        <v>471</v>
      </c>
      <c r="B116" s="3" t="s">
        <v>823</v>
      </c>
      <c r="C116" s="3" t="s">
        <v>113</v>
      </c>
      <c r="D116" s="3" t="s">
        <v>123</v>
      </c>
      <c r="E116" s="3" t="s">
        <v>279</v>
      </c>
      <c r="F116" s="3" t="s">
        <v>280</v>
      </c>
      <c r="G116" s="4" t="s">
        <v>824</v>
      </c>
      <c r="H116" s="3" t="s">
        <v>26</v>
      </c>
      <c r="I116" s="3" t="s">
        <v>825</v>
      </c>
      <c r="J116" s="4" t="s">
        <v>826</v>
      </c>
      <c r="K116" s="3"/>
      <c r="L116" s="5" t="s">
        <v>827</v>
      </c>
      <c r="M116" s="5" t="s">
        <v>478</v>
      </c>
      <c r="N116" s="5" t="s">
        <v>130</v>
      </c>
      <c r="O116" s="3" t="s">
        <v>828</v>
      </c>
      <c r="P116" s="3" t="s">
        <v>826</v>
      </c>
      <c r="Q116" s="3" t="s">
        <v>33</v>
      </c>
      <c r="R116" s="6"/>
      <c r="S116" s="3"/>
    </row>
    <row r="117" customFormat="false" ht="23.85" hidden="false" customHeight="false" outlineLevel="0" collapsed="false">
      <c r="A117" s="7" t="s">
        <v>471</v>
      </c>
      <c r="B117" s="3" t="s">
        <v>829</v>
      </c>
      <c r="C117" s="3" t="s">
        <v>113</v>
      </c>
      <c r="D117" s="3" t="s">
        <v>123</v>
      </c>
      <c r="E117" s="3" t="s">
        <v>228</v>
      </c>
      <c r="F117" s="3" t="s">
        <v>263</v>
      </c>
      <c r="G117" s="4" t="s">
        <v>830</v>
      </c>
      <c r="H117" s="3" t="s">
        <v>26</v>
      </c>
      <c r="I117" s="3" t="s">
        <v>831</v>
      </c>
      <c r="J117" s="4" t="s">
        <v>832</v>
      </c>
      <c r="K117" s="3"/>
      <c r="L117" s="5" t="s">
        <v>833</v>
      </c>
      <c r="M117" s="5" t="s">
        <v>478</v>
      </c>
      <c r="N117" s="5" t="s">
        <v>130</v>
      </c>
      <c r="O117" s="3" t="s">
        <v>834</v>
      </c>
      <c r="P117" s="3" t="s">
        <v>832</v>
      </c>
      <c r="Q117" s="3" t="s">
        <v>33</v>
      </c>
      <c r="R117" s="6"/>
      <c r="S117" s="3"/>
    </row>
    <row r="118" customFormat="false" ht="23.85" hidden="false" customHeight="false" outlineLevel="0" collapsed="false">
      <c r="A118" s="7" t="s">
        <v>471</v>
      </c>
      <c r="B118" s="3" t="s">
        <v>835</v>
      </c>
      <c r="C118" s="3" t="s">
        <v>113</v>
      </c>
      <c r="D118" s="3" t="s">
        <v>123</v>
      </c>
      <c r="E118" s="3" t="s">
        <v>236</v>
      </c>
      <c r="F118" s="3" t="s">
        <v>396</v>
      </c>
      <c r="G118" s="4" t="s">
        <v>836</v>
      </c>
      <c r="H118" s="3" t="s">
        <v>26</v>
      </c>
      <c r="I118" s="3" t="s">
        <v>837</v>
      </c>
      <c r="J118" s="4" t="s">
        <v>838</v>
      </c>
      <c r="K118" s="4" t="s">
        <v>839</v>
      </c>
      <c r="L118" s="5" t="s">
        <v>840</v>
      </c>
      <c r="M118" s="5" t="s">
        <v>478</v>
      </c>
      <c r="N118" s="5" t="s">
        <v>130</v>
      </c>
      <c r="O118" s="3" t="s">
        <v>841</v>
      </c>
      <c r="P118" s="3" t="s">
        <v>838</v>
      </c>
      <c r="Q118" s="3" t="s">
        <v>33</v>
      </c>
      <c r="R118" s="6"/>
      <c r="S118" s="3"/>
    </row>
    <row r="119" customFormat="false" ht="23.85" hidden="false" customHeight="false" outlineLevel="0" collapsed="false">
      <c r="A119" s="7" t="s">
        <v>471</v>
      </c>
      <c r="B119" s="3" t="s">
        <v>842</v>
      </c>
      <c r="C119" s="3" t="s">
        <v>113</v>
      </c>
      <c r="D119" s="3" t="s">
        <v>123</v>
      </c>
      <c r="E119" s="3" t="s">
        <v>279</v>
      </c>
      <c r="F119" s="3" t="s">
        <v>280</v>
      </c>
      <c r="G119" s="4" t="s">
        <v>843</v>
      </c>
      <c r="H119" s="3" t="s">
        <v>26</v>
      </c>
      <c r="I119" s="3" t="s">
        <v>844</v>
      </c>
      <c r="J119" s="4" t="s">
        <v>845</v>
      </c>
      <c r="K119" s="4" t="s">
        <v>846</v>
      </c>
      <c r="L119" s="5" t="s">
        <v>847</v>
      </c>
      <c r="M119" s="5" t="s">
        <v>478</v>
      </c>
      <c r="N119" s="5" t="s">
        <v>130</v>
      </c>
      <c r="O119" s="3" t="s">
        <v>848</v>
      </c>
      <c r="P119" s="3" t="s">
        <v>845</v>
      </c>
      <c r="Q119" s="3" t="s">
        <v>33</v>
      </c>
      <c r="R119" s="6"/>
      <c r="S119" s="3"/>
    </row>
    <row r="120" customFormat="false" ht="23.85" hidden="false" customHeight="false" outlineLevel="0" collapsed="false">
      <c r="A120" s="7" t="s">
        <v>471</v>
      </c>
      <c r="B120" s="3" t="s">
        <v>849</v>
      </c>
      <c r="C120" s="3" t="s">
        <v>113</v>
      </c>
      <c r="D120" s="3" t="s">
        <v>123</v>
      </c>
      <c r="E120" s="3" t="s">
        <v>279</v>
      </c>
      <c r="F120" s="3" t="s">
        <v>280</v>
      </c>
      <c r="G120" s="4" t="s">
        <v>850</v>
      </c>
      <c r="H120" s="3" t="s">
        <v>26</v>
      </c>
      <c r="I120" s="3"/>
      <c r="J120" s="4" t="s">
        <v>851</v>
      </c>
      <c r="K120" s="3"/>
      <c r="L120" s="5" t="s">
        <v>852</v>
      </c>
      <c r="M120" s="5" t="s">
        <v>478</v>
      </c>
      <c r="N120" s="5" t="s">
        <v>130</v>
      </c>
      <c r="O120" s="3" t="s">
        <v>853</v>
      </c>
      <c r="P120" s="3" t="s">
        <v>851</v>
      </c>
      <c r="Q120" s="3" t="s">
        <v>33</v>
      </c>
      <c r="R120" s="6"/>
      <c r="S120" s="3"/>
    </row>
    <row r="121" customFormat="false" ht="23.85" hidden="false" customHeight="false" outlineLevel="0" collapsed="false">
      <c r="A121" s="7" t="s">
        <v>471</v>
      </c>
      <c r="B121" s="3" t="s">
        <v>854</v>
      </c>
      <c r="C121" s="3" t="s">
        <v>113</v>
      </c>
      <c r="D121" s="3" t="s">
        <v>203</v>
      </c>
      <c r="E121" s="3" t="s">
        <v>228</v>
      </c>
      <c r="F121" s="3" t="s">
        <v>263</v>
      </c>
      <c r="G121" s="4" t="s">
        <v>855</v>
      </c>
      <c r="H121" s="3" t="s">
        <v>26</v>
      </c>
      <c r="I121" s="3" t="s">
        <v>856</v>
      </c>
      <c r="J121" s="4" t="s">
        <v>857</v>
      </c>
      <c r="K121" s="3"/>
      <c r="L121" s="5" t="s">
        <v>858</v>
      </c>
      <c r="M121" s="5" t="s">
        <v>646</v>
      </c>
      <c r="N121" s="5" t="s">
        <v>209</v>
      </c>
      <c r="O121" s="3" t="s">
        <v>859</v>
      </c>
      <c r="P121" s="3" t="s">
        <v>857</v>
      </c>
      <c r="Q121" s="3" t="s">
        <v>33</v>
      </c>
      <c r="R121" s="6"/>
      <c r="S121" s="3"/>
    </row>
    <row r="122" customFormat="false" ht="23.85" hidden="false" customHeight="false" outlineLevel="0" collapsed="false">
      <c r="A122" s="7" t="s">
        <v>471</v>
      </c>
      <c r="B122" s="3" t="s">
        <v>860</v>
      </c>
      <c r="C122" s="3" t="s">
        <v>113</v>
      </c>
      <c r="D122" s="3" t="s">
        <v>123</v>
      </c>
      <c r="E122" s="3" t="s">
        <v>279</v>
      </c>
      <c r="F122" s="3" t="s">
        <v>280</v>
      </c>
      <c r="G122" s="4" t="s">
        <v>861</v>
      </c>
      <c r="H122" s="3" t="s">
        <v>26</v>
      </c>
      <c r="I122" s="3" t="s">
        <v>862</v>
      </c>
      <c r="J122" s="4" t="s">
        <v>863</v>
      </c>
      <c r="K122" s="4" t="s">
        <v>864</v>
      </c>
      <c r="L122" s="5" t="s">
        <v>865</v>
      </c>
      <c r="M122" s="5" t="s">
        <v>478</v>
      </c>
      <c r="N122" s="5" t="s">
        <v>130</v>
      </c>
      <c r="O122" s="3" t="s">
        <v>866</v>
      </c>
      <c r="P122" s="3" t="s">
        <v>863</v>
      </c>
      <c r="Q122" s="3" t="s">
        <v>33</v>
      </c>
      <c r="R122" s="6"/>
      <c r="S122" s="3"/>
    </row>
    <row r="123" customFormat="false" ht="23.85" hidden="false" customHeight="false" outlineLevel="0" collapsed="false">
      <c r="A123" s="7" t="s">
        <v>471</v>
      </c>
      <c r="B123" s="3" t="s">
        <v>867</v>
      </c>
      <c r="C123" s="3" t="s">
        <v>113</v>
      </c>
      <c r="D123" s="3" t="s">
        <v>114</v>
      </c>
      <c r="E123" s="3" t="s">
        <v>279</v>
      </c>
      <c r="F123" s="3"/>
      <c r="G123" s="4" t="s">
        <v>868</v>
      </c>
      <c r="H123" s="3" t="s">
        <v>26</v>
      </c>
      <c r="I123" s="3" t="s">
        <v>869</v>
      </c>
      <c r="J123" s="4" t="s">
        <v>870</v>
      </c>
      <c r="K123" s="4" t="s">
        <v>871</v>
      </c>
      <c r="L123" s="5" t="s">
        <v>872</v>
      </c>
      <c r="M123" s="5" t="s">
        <v>873</v>
      </c>
      <c r="N123" s="5" t="s">
        <v>120</v>
      </c>
      <c r="O123" s="3" t="s">
        <v>874</v>
      </c>
      <c r="P123" s="3" t="s">
        <v>870</v>
      </c>
      <c r="Q123" s="3" t="s">
        <v>33</v>
      </c>
      <c r="R123" s="6"/>
      <c r="S123" s="3"/>
    </row>
    <row r="124" customFormat="false" ht="23.85" hidden="false" customHeight="false" outlineLevel="0" collapsed="false">
      <c r="A124" s="7" t="s">
        <v>471</v>
      </c>
      <c r="B124" s="3" t="s">
        <v>875</v>
      </c>
      <c r="C124" s="3" t="s">
        <v>113</v>
      </c>
      <c r="D124" s="3" t="s">
        <v>123</v>
      </c>
      <c r="E124" s="3" t="s">
        <v>245</v>
      </c>
      <c r="F124" s="3" t="s">
        <v>254</v>
      </c>
      <c r="G124" s="4" t="s">
        <v>876</v>
      </c>
      <c r="H124" s="3" t="s">
        <v>26</v>
      </c>
      <c r="I124" s="3" t="s">
        <v>877</v>
      </c>
      <c r="J124" s="4" t="s">
        <v>878</v>
      </c>
      <c r="K124" s="4" t="s">
        <v>879</v>
      </c>
      <c r="L124" s="5" t="s">
        <v>880</v>
      </c>
      <c r="M124" s="5" t="s">
        <v>478</v>
      </c>
      <c r="N124" s="5" t="s">
        <v>130</v>
      </c>
      <c r="O124" s="3" t="s">
        <v>881</v>
      </c>
      <c r="P124" s="3" t="s">
        <v>878</v>
      </c>
      <c r="Q124" s="3" t="s">
        <v>33</v>
      </c>
      <c r="R124" s="6"/>
      <c r="S124" s="3"/>
    </row>
    <row r="125" customFormat="false" ht="23.85" hidden="false" customHeight="false" outlineLevel="0" collapsed="false">
      <c r="A125" s="7" t="s">
        <v>471</v>
      </c>
      <c r="B125" s="3" t="s">
        <v>882</v>
      </c>
      <c r="C125" s="3" t="s">
        <v>113</v>
      </c>
      <c r="D125" s="3" t="s">
        <v>123</v>
      </c>
      <c r="E125" s="3" t="s">
        <v>245</v>
      </c>
      <c r="F125" s="3" t="s">
        <v>883</v>
      </c>
      <c r="G125" s="4" t="s">
        <v>884</v>
      </c>
      <c r="H125" s="3" t="s">
        <v>26</v>
      </c>
      <c r="I125" s="3" t="s">
        <v>885</v>
      </c>
      <c r="J125" s="4" t="s">
        <v>886</v>
      </c>
      <c r="K125" s="3"/>
      <c r="L125" s="5" t="s">
        <v>887</v>
      </c>
      <c r="M125" s="5" t="s">
        <v>478</v>
      </c>
      <c r="N125" s="5" t="s">
        <v>130</v>
      </c>
      <c r="O125" s="3" t="s">
        <v>888</v>
      </c>
      <c r="P125" s="3" t="s">
        <v>886</v>
      </c>
      <c r="Q125" s="3" t="s">
        <v>33</v>
      </c>
      <c r="R125" s="6"/>
      <c r="S125" s="3"/>
    </row>
    <row r="126" customFormat="false" ht="23.85" hidden="false" customHeight="false" outlineLevel="0" collapsed="false">
      <c r="A126" s="7" t="s">
        <v>471</v>
      </c>
      <c r="B126" s="3" t="s">
        <v>889</v>
      </c>
      <c r="C126" s="3" t="s">
        <v>113</v>
      </c>
      <c r="D126" s="3" t="s">
        <v>123</v>
      </c>
      <c r="E126" s="3" t="s">
        <v>245</v>
      </c>
      <c r="F126" s="3"/>
      <c r="G126" s="4" t="s">
        <v>890</v>
      </c>
      <c r="H126" s="3" t="s">
        <v>26</v>
      </c>
      <c r="I126" s="3" t="s">
        <v>891</v>
      </c>
      <c r="J126" s="4" t="s">
        <v>892</v>
      </c>
      <c r="K126" s="4" t="s">
        <v>893</v>
      </c>
      <c r="L126" s="5" t="s">
        <v>894</v>
      </c>
      <c r="M126" s="5" t="s">
        <v>478</v>
      </c>
      <c r="N126" s="5" t="s">
        <v>130</v>
      </c>
      <c r="O126" s="3" t="s">
        <v>895</v>
      </c>
      <c r="P126" s="3" t="s">
        <v>892</v>
      </c>
      <c r="Q126" s="3" t="s">
        <v>33</v>
      </c>
      <c r="R126" s="6"/>
      <c r="S126" s="3"/>
    </row>
    <row r="127" customFormat="false" ht="23.85" hidden="false" customHeight="false" outlineLevel="0" collapsed="false">
      <c r="A127" s="7" t="s">
        <v>471</v>
      </c>
      <c r="B127" s="3" t="s">
        <v>896</v>
      </c>
      <c r="C127" s="3" t="s">
        <v>113</v>
      </c>
      <c r="D127" s="3" t="s">
        <v>123</v>
      </c>
      <c r="E127" s="3" t="s">
        <v>245</v>
      </c>
      <c r="F127" s="3" t="s">
        <v>897</v>
      </c>
      <c r="G127" s="4" t="s">
        <v>898</v>
      </c>
      <c r="H127" s="3" t="s">
        <v>26</v>
      </c>
      <c r="I127" s="3" t="s">
        <v>899</v>
      </c>
      <c r="J127" s="4" t="s">
        <v>900</v>
      </c>
      <c r="K127" s="3"/>
      <c r="L127" s="5" t="s">
        <v>901</v>
      </c>
      <c r="M127" s="5" t="s">
        <v>478</v>
      </c>
      <c r="N127" s="5" t="s">
        <v>130</v>
      </c>
      <c r="O127" s="3" t="s">
        <v>902</v>
      </c>
      <c r="P127" s="3" t="s">
        <v>900</v>
      </c>
      <c r="Q127" s="3" t="s">
        <v>33</v>
      </c>
      <c r="R127" s="6"/>
      <c r="S127" s="3"/>
    </row>
    <row r="128" customFormat="false" ht="23.85" hidden="false" customHeight="false" outlineLevel="0" collapsed="false">
      <c r="A128" s="7" t="s">
        <v>471</v>
      </c>
      <c r="B128" s="3" t="s">
        <v>903</v>
      </c>
      <c r="C128" s="3" t="s">
        <v>113</v>
      </c>
      <c r="D128" s="3" t="s">
        <v>123</v>
      </c>
      <c r="E128" s="3" t="s">
        <v>279</v>
      </c>
      <c r="F128" s="3" t="s">
        <v>280</v>
      </c>
      <c r="G128" s="4" t="s">
        <v>904</v>
      </c>
      <c r="H128" s="3" t="s">
        <v>26</v>
      </c>
      <c r="I128" s="3" t="s">
        <v>905</v>
      </c>
      <c r="J128" s="4" t="s">
        <v>906</v>
      </c>
      <c r="K128" s="4" t="s">
        <v>907</v>
      </c>
      <c r="L128" s="5" t="s">
        <v>908</v>
      </c>
      <c r="M128" s="5" t="s">
        <v>478</v>
      </c>
      <c r="N128" s="5" t="s">
        <v>130</v>
      </c>
      <c r="O128" s="3" t="s">
        <v>909</v>
      </c>
      <c r="P128" s="3" t="s">
        <v>906</v>
      </c>
      <c r="Q128" s="3" t="s">
        <v>33</v>
      </c>
      <c r="R128" s="6"/>
      <c r="S128" s="3"/>
    </row>
    <row r="129" customFormat="false" ht="23.85" hidden="false" customHeight="false" outlineLevel="0" collapsed="false">
      <c r="A129" s="7" t="s">
        <v>471</v>
      </c>
      <c r="B129" s="3" t="s">
        <v>910</v>
      </c>
      <c r="C129" s="3" t="s">
        <v>113</v>
      </c>
      <c r="D129" s="3" t="s">
        <v>123</v>
      </c>
      <c r="E129" s="3" t="s">
        <v>245</v>
      </c>
      <c r="F129" s="3" t="s">
        <v>911</v>
      </c>
      <c r="G129" s="4" t="s">
        <v>912</v>
      </c>
      <c r="H129" s="3" t="s">
        <v>26</v>
      </c>
      <c r="I129" s="3" t="s">
        <v>913</v>
      </c>
      <c r="J129" s="4" t="s">
        <v>914</v>
      </c>
      <c r="K129" s="4" t="s">
        <v>915</v>
      </c>
      <c r="L129" s="5" t="s">
        <v>916</v>
      </c>
      <c r="M129" s="5" t="s">
        <v>478</v>
      </c>
      <c r="N129" s="5" t="s">
        <v>130</v>
      </c>
      <c r="O129" s="3" t="s">
        <v>917</v>
      </c>
      <c r="P129" s="3" t="s">
        <v>918</v>
      </c>
      <c r="Q129" s="3" t="s">
        <v>33</v>
      </c>
      <c r="R129" s="6"/>
      <c r="S129" s="3"/>
    </row>
    <row r="130" customFormat="false" ht="23.85" hidden="false" customHeight="false" outlineLevel="0" collapsed="false">
      <c r="A130" s="7" t="s">
        <v>471</v>
      </c>
      <c r="B130" s="3" t="s">
        <v>919</v>
      </c>
      <c r="C130" s="3" t="s">
        <v>113</v>
      </c>
      <c r="D130" s="3" t="s">
        <v>123</v>
      </c>
      <c r="E130" s="3" t="s">
        <v>245</v>
      </c>
      <c r="F130" s="3" t="s">
        <v>920</v>
      </c>
      <c r="G130" s="4" t="s">
        <v>921</v>
      </c>
      <c r="H130" s="3" t="s">
        <v>719</v>
      </c>
      <c r="I130" s="3" t="s">
        <v>922</v>
      </c>
      <c r="J130" s="4" t="s">
        <v>923</v>
      </c>
      <c r="K130" s="3"/>
      <c r="L130" s="5" t="s">
        <v>924</v>
      </c>
      <c r="M130" s="5" t="s">
        <v>478</v>
      </c>
      <c r="N130" s="5" t="s">
        <v>130</v>
      </c>
      <c r="O130" s="3" t="s">
        <v>925</v>
      </c>
      <c r="P130" s="3" t="s">
        <v>926</v>
      </c>
      <c r="Q130" s="3" t="s">
        <v>33</v>
      </c>
      <c r="R130" s="6"/>
      <c r="S130" s="3"/>
    </row>
    <row r="131" customFormat="false" ht="23.85" hidden="false" customHeight="false" outlineLevel="0" collapsed="false">
      <c r="A131" s="7" t="s">
        <v>471</v>
      </c>
      <c r="B131" s="3" t="s">
        <v>927</v>
      </c>
      <c r="C131" s="3" t="s">
        <v>113</v>
      </c>
      <c r="D131" s="3" t="s">
        <v>123</v>
      </c>
      <c r="E131" s="3" t="s">
        <v>245</v>
      </c>
      <c r="F131" s="3" t="s">
        <v>928</v>
      </c>
      <c r="G131" s="4" t="s">
        <v>929</v>
      </c>
      <c r="H131" s="3" t="s">
        <v>26</v>
      </c>
      <c r="I131" s="3" t="s">
        <v>930</v>
      </c>
      <c r="J131" s="4" t="s">
        <v>931</v>
      </c>
      <c r="K131" s="4" t="s">
        <v>932</v>
      </c>
      <c r="L131" s="5" t="s">
        <v>933</v>
      </c>
      <c r="M131" s="5" t="s">
        <v>478</v>
      </c>
      <c r="N131" s="5" t="s">
        <v>130</v>
      </c>
      <c r="O131" s="3" t="s">
        <v>934</v>
      </c>
      <c r="P131" s="3" t="s">
        <v>931</v>
      </c>
      <c r="Q131" s="3" t="s">
        <v>33</v>
      </c>
      <c r="R131" s="6"/>
      <c r="S131" s="3"/>
    </row>
    <row r="132" customFormat="false" ht="23.85" hidden="false" customHeight="false" outlineLevel="0" collapsed="false">
      <c r="A132" s="7" t="s">
        <v>471</v>
      </c>
      <c r="B132" s="3" t="s">
        <v>935</v>
      </c>
      <c r="C132" s="3" t="s">
        <v>21</v>
      </c>
      <c r="D132" s="3" t="s">
        <v>22</v>
      </c>
      <c r="E132" s="3" t="s">
        <v>23</v>
      </c>
      <c r="F132" s="3" t="s">
        <v>24</v>
      </c>
      <c r="G132" s="3"/>
      <c r="H132" s="3" t="s">
        <v>434</v>
      </c>
      <c r="I132" s="3"/>
      <c r="J132" s="4" t="s">
        <v>936</v>
      </c>
      <c r="K132" s="3"/>
      <c r="L132" s="5" t="s">
        <v>937</v>
      </c>
      <c r="M132" s="5" t="s">
        <v>938</v>
      </c>
      <c r="N132" s="5" t="s">
        <v>30</v>
      </c>
      <c r="O132" s="3" t="s">
        <v>939</v>
      </c>
      <c r="P132" s="3"/>
      <c r="Q132" s="3" t="s">
        <v>33</v>
      </c>
      <c r="R132" s="6"/>
      <c r="S132" s="3"/>
    </row>
    <row r="133" customFormat="false" ht="23.85" hidden="false" customHeight="false" outlineLevel="0" collapsed="false">
      <c r="A133" s="7" t="s">
        <v>471</v>
      </c>
      <c r="B133" s="3" t="s">
        <v>940</v>
      </c>
      <c r="C133" s="3" t="s">
        <v>21</v>
      </c>
      <c r="D133" s="3" t="s">
        <v>22</v>
      </c>
      <c r="E133" s="3" t="s">
        <v>23</v>
      </c>
      <c r="F133" s="3" t="s">
        <v>24</v>
      </c>
      <c r="G133" s="3"/>
      <c r="H133" s="3" t="s">
        <v>434</v>
      </c>
      <c r="I133" s="3"/>
      <c r="J133" s="4" t="s">
        <v>941</v>
      </c>
      <c r="K133" s="4" t="s">
        <v>942</v>
      </c>
      <c r="L133" s="5" t="s">
        <v>943</v>
      </c>
      <c r="M133" s="5" t="s">
        <v>98</v>
      </c>
      <c r="N133" s="5" t="s">
        <v>30</v>
      </c>
      <c r="O133" s="3" t="s">
        <v>944</v>
      </c>
      <c r="P133" s="3"/>
      <c r="Q133" s="3" t="s">
        <v>33</v>
      </c>
      <c r="R133" s="6"/>
      <c r="S133" s="3"/>
    </row>
    <row r="134" customFormat="false" ht="23.85" hidden="false" customHeight="false" outlineLevel="0" collapsed="false">
      <c r="A134" s="7" t="s">
        <v>471</v>
      </c>
      <c r="B134" s="3" t="s">
        <v>945</v>
      </c>
      <c r="C134" s="3" t="s">
        <v>21</v>
      </c>
      <c r="D134" s="3" t="s">
        <v>52</v>
      </c>
      <c r="E134" s="3" t="s">
        <v>23</v>
      </c>
      <c r="F134" s="3" t="s">
        <v>24</v>
      </c>
      <c r="G134" s="3"/>
      <c r="H134" s="3" t="s">
        <v>434</v>
      </c>
      <c r="I134" s="3"/>
      <c r="J134" s="4" t="s">
        <v>946</v>
      </c>
      <c r="K134" s="4" t="s">
        <v>947</v>
      </c>
      <c r="L134" s="5" t="s">
        <v>948</v>
      </c>
      <c r="M134" s="5" t="s">
        <v>478</v>
      </c>
      <c r="N134" s="5" t="s">
        <v>56</v>
      </c>
      <c r="O134" s="3" t="s">
        <v>949</v>
      </c>
      <c r="P134" s="3"/>
      <c r="Q134" s="3" t="s">
        <v>33</v>
      </c>
      <c r="R134" s="6"/>
      <c r="S134" s="3"/>
    </row>
    <row r="135" customFormat="false" ht="23.85" hidden="false" customHeight="false" outlineLevel="0" collapsed="false">
      <c r="A135" s="7" t="s">
        <v>471</v>
      </c>
      <c r="B135" s="3" t="s">
        <v>950</v>
      </c>
      <c r="C135" s="3" t="s">
        <v>113</v>
      </c>
      <c r="D135" s="3" t="s">
        <v>123</v>
      </c>
      <c r="E135" s="3" t="s">
        <v>23</v>
      </c>
      <c r="F135" s="3" t="s">
        <v>212</v>
      </c>
      <c r="G135" s="3"/>
      <c r="H135" s="3" t="s">
        <v>434</v>
      </c>
      <c r="I135" s="3"/>
      <c r="J135" s="4" t="s">
        <v>951</v>
      </c>
      <c r="K135" s="4" t="s">
        <v>952</v>
      </c>
      <c r="L135" s="5" t="s">
        <v>953</v>
      </c>
      <c r="M135" s="5" t="s">
        <v>478</v>
      </c>
      <c r="N135" s="5" t="s">
        <v>130</v>
      </c>
      <c r="O135" s="3" t="s">
        <v>954</v>
      </c>
      <c r="P135" s="3"/>
      <c r="Q135" s="3" t="s">
        <v>33</v>
      </c>
      <c r="R135" s="6"/>
      <c r="S135" s="3"/>
    </row>
    <row r="136" customFormat="false" ht="23.85" hidden="false" customHeight="false" outlineLevel="0" collapsed="false">
      <c r="A136" s="7" t="s">
        <v>471</v>
      </c>
      <c r="B136" s="3" t="s">
        <v>955</v>
      </c>
      <c r="C136" s="3" t="s">
        <v>113</v>
      </c>
      <c r="D136" s="3" t="s">
        <v>123</v>
      </c>
      <c r="E136" s="3" t="s">
        <v>23</v>
      </c>
      <c r="F136" s="3" t="s">
        <v>154</v>
      </c>
      <c r="G136" s="3"/>
      <c r="H136" s="3" t="s">
        <v>434</v>
      </c>
      <c r="I136" s="3"/>
      <c r="J136" s="4" t="s">
        <v>956</v>
      </c>
      <c r="K136" s="3"/>
      <c r="L136" s="5" t="s">
        <v>957</v>
      </c>
      <c r="M136" s="5" t="s">
        <v>478</v>
      </c>
      <c r="N136" s="5" t="s">
        <v>130</v>
      </c>
      <c r="O136" s="3" t="s">
        <v>958</v>
      </c>
      <c r="P136" s="3"/>
      <c r="Q136" s="3" t="s">
        <v>33</v>
      </c>
      <c r="R136" s="6"/>
      <c r="S136" s="3"/>
    </row>
    <row r="137" customFormat="false" ht="23.85" hidden="false" customHeight="false" outlineLevel="0" collapsed="false">
      <c r="A137" s="7" t="s">
        <v>471</v>
      </c>
      <c r="B137" s="3" t="s">
        <v>959</v>
      </c>
      <c r="C137" s="3" t="s">
        <v>21</v>
      </c>
      <c r="D137" s="3" t="s">
        <v>22</v>
      </c>
      <c r="E137" s="3" t="s">
        <v>287</v>
      </c>
      <c r="F137" s="3" t="s">
        <v>725</v>
      </c>
      <c r="G137" s="3"/>
      <c r="H137" s="3" t="s">
        <v>434</v>
      </c>
      <c r="I137" s="3" t="s">
        <v>960</v>
      </c>
      <c r="J137" s="4" t="s">
        <v>961</v>
      </c>
      <c r="K137" s="4" t="s">
        <v>962</v>
      </c>
      <c r="L137" s="5" t="s">
        <v>963</v>
      </c>
      <c r="M137" s="5" t="s">
        <v>98</v>
      </c>
      <c r="N137" s="5" t="s">
        <v>30</v>
      </c>
      <c r="O137" s="3" t="s">
        <v>964</v>
      </c>
      <c r="P137" s="3"/>
      <c r="Q137" s="3" t="s">
        <v>33</v>
      </c>
      <c r="R137" s="6"/>
      <c r="S137" s="3"/>
    </row>
    <row r="138" customFormat="false" ht="35.05" hidden="false" customHeight="false" outlineLevel="0" collapsed="false">
      <c r="A138" s="7" t="s">
        <v>471</v>
      </c>
      <c r="B138" s="3" t="s">
        <v>965</v>
      </c>
      <c r="C138" s="3" t="s">
        <v>21</v>
      </c>
      <c r="D138" s="3" t="s">
        <v>60</v>
      </c>
      <c r="E138" s="3" t="s">
        <v>784</v>
      </c>
      <c r="F138" s="3" t="s">
        <v>966</v>
      </c>
      <c r="G138" s="3"/>
      <c r="H138" s="3" t="s">
        <v>434</v>
      </c>
      <c r="I138" s="3"/>
      <c r="J138" s="4" t="s">
        <v>967</v>
      </c>
      <c r="K138" s="3"/>
      <c r="L138" s="5" t="s">
        <v>968</v>
      </c>
      <c r="M138" s="5" t="s">
        <v>478</v>
      </c>
      <c r="N138" s="5" t="s">
        <v>67</v>
      </c>
      <c r="O138" s="3" t="s">
        <v>969</v>
      </c>
      <c r="P138" s="3"/>
      <c r="Q138" s="3" t="s">
        <v>33</v>
      </c>
      <c r="R138" s="6"/>
      <c r="S138" s="3"/>
    </row>
    <row r="139" customFormat="false" ht="23.85" hidden="false" customHeight="false" outlineLevel="0" collapsed="false">
      <c r="A139" s="7" t="s">
        <v>471</v>
      </c>
      <c r="B139" s="3" t="s">
        <v>970</v>
      </c>
      <c r="C139" s="3" t="s">
        <v>21</v>
      </c>
      <c r="D139" s="3" t="s">
        <v>60</v>
      </c>
      <c r="E139" s="3" t="s">
        <v>245</v>
      </c>
      <c r="F139" s="3" t="s">
        <v>254</v>
      </c>
      <c r="G139" s="3"/>
      <c r="H139" s="3" t="s">
        <v>434</v>
      </c>
      <c r="I139" s="3" t="s">
        <v>971</v>
      </c>
      <c r="J139" s="4" t="s">
        <v>972</v>
      </c>
      <c r="K139" s="4" t="s">
        <v>973</v>
      </c>
      <c r="L139" s="5" t="s">
        <v>974</v>
      </c>
      <c r="M139" s="5" t="s">
        <v>478</v>
      </c>
      <c r="N139" s="5" t="s">
        <v>67</v>
      </c>
      <c r="O139" s="3" t="s">
        <v>975</v>
      </c>
      <c r="P139" s="3"/>
      <c r="Q139" s="3" t="s">
        <v>33</v>
      </c>
      <c r="R139" s="6"/>
      <c r="S139" s="3"/>
    </row>
    <row r="140" customFormat="false" ht="23.85" hidden="false" customHeight="false" outlineLevel="0" collapsed="false">
      <c r="A140" s="7" t="s">
        <v>471</v>
      </c>
      <c r="B140" s="3" t="s">
        <v>976</v>
      </c>
      <c r="C140" s="3" t="s">
        <v>113</v>
      </c>
      <c r="D140" s="3" t="s">
        <v>123</v>
      </c>
      <c r="E140" s="3" t="s">
        <v>228</v>
      </c>
      <c r="F140" s="3" t="s">
        <v>263</v>
      </c>
      <c r="G140" s="3"/>
      <c r="H140" s="3" t="s">
        <v>434</v>
      </c>
      <c r="I140" s="3" t="s">
        <v>977</v>
      </c>
      <c r="J140" s="4" t="s">
        <v>978</v>
      </c>
      <c r="K140" s="3"/>
      <c r="L140" s="5" t="s">
        <v>979</v>
      </c>
      <c r="M140" s="5" t="s">
        <v>478</v>
      </c>
      <c r="N140" s="5" t="s">
        <v>130</v>
      </c>
      <c r="O140" s="3" t="s">
        <v>980</v>
      </c>
      <c r="P140" s="3"/>
      <c r="Q140" s="3" t="s">
        <v>33</v>
      </c>
      <c r="R140" s="6"/>
      <c r="S140" s="3"/>
    </row>
    <row r="141" customFormat="false" ht="23.85" hidden="false" customHeight="false" outlineLevel="0" collapsed="false">
      <c r="A141" s="7" t="s">
        <v>471</v>
      </c>
      <c r="B141" s="3" t="s">
        <v>981</v>
      </c>
      <c r="C141" s="3" t="s">
        <v>113</v>
      </c>
      <c r="D141" s="3" t="s">
        <v>123</v>
      </c>
      <c r="E141" s="3" t="s">
        <v>322</v>
      </c>
      <c r="F141" s="3" t="s">
        <v>463</v>
      </c>
      <c r="G141" s="3"/>
      <c r="H141" s="3" t="s">
        <v>434</v>
      </c>
      <c r="I141" s="3" t="s">
        <v>982</v>
      </c>
      <c r="J141" s="4" t="s">
        <v>983</v>
      </c>
      <c r="K141" s="4" t="s">
        <v>984</v>
      </c>
      <c r="L141" s="5" t="s">
        <v>985</v>
      </c>
      <c r="M141" s="5" t="s">
        <v>478</v>
      </c>
      <c r="N141" s="5" t="s">
        <v>130</v>
      </c>
      <c r="O141" s="3" t="s">
        <v>986</v>
      </c>
      <c r="P141" s="3"/>
      <c r="Q141" s="3" t="s">
        <v>33</v>
      </c>
      <c r="R141" s="6"/>
      <c r="S141" s="3"/>
    </row>
    <row r="142" customFormat="false" ht="23.85" hidden="false" customHeight="false" outlineLevel="0" collapsed="false">
      <c r="A142" s="8" t="s">
        <v>987</v>
      </c>
      <c r="B142" s="3" t="s">
        <v>988</v>
      </c>
      <c r="C142" s="3" t="s">
        <v>113</v>
      </c>
      <c r="D142" s="3" t="s">
        <v>203</v>
      </c>
      <c r="E142" s="3" t="s">
        <v>23</v>
      </c>
      <c r="F142" s="3" t="s">
        <v>24</v>
      </c>
      <c r="G142" s="4" t="s">
        <v>989</v>
      </c>
      <c r="H142" s="3" t="s">
        <v>26</v>
      </c>
      <c r="I142" s="3" t="s">
        <v>990</v>
      </c>
      <c r="J142" s="4" t="s">
        <v>991</v>
      </c>
      <c r="K142" s="3"/>
      <c r="L142" s="5" t="s">
        <v>992</v>
      </c>
      <c r="M142" s="5" t="s">
        <v>993</v>
      </c>
      <c r="N142" s="5" t="s">
        <v>209</v>
      </c>
      <c r="O142" s="3" t="s">
        <v>994</v>
      </c>
      <c r="P142" s="3" t="s">
        <v>991</v>
      </c>
      <c r="Q142" s="3" t="s">
        <v>33</v>
      </c>
      <c r="R142" s="6"/>
      <c r="S142" s="3"/>
    </row>
    <row r="143" customFormat="false" ht="23.85" hidden="false" customHeight="false" outlineLevel="0" collapsed="false">
      <c r="A143" s="8" t="s">
        <v>987</v>
      </c>
      <c r="B143" s="3" t="s">
        <v>995</v>
      </c>
      <c r="C143" s="3" t="s">
        <v>113</v>
      </c>
      <c r="D143" s="3" t="s">
        <v>203</v>
      </c>
      <c r="E143" s="3" t="s">
        <v>23</v>
      </c>
      <c r="F143" s="3" t="s">
        <v>24</v>
      </c>
      <c r="G143" s="4" t="s">
        <v>996</v>
      </c>
      <c r="H143" s="3" t="s">
        <v>26</v>
      </c>
      <c r="I143" s="3" t="s">
        <v>997</v>
      </c>
      <c r="J143" s="4" t="s">
        <v>998</v>
      </c>
      <c r="K143" s="4" t="s">
        <v>999</v>
      </c>
      <c r="L143" s="5" t="s">
        <v>1000</v>
      </c>
      <c r="M143" s="5" t="s">
        <v>1001</v>
      </c>
      <c r="N143" s="5" t="s">
        <v>209</v>
      </c>
      <c r="O143" s="3" t="s">
        <v>1002</v>
      </c>
      <c r="P143" s="3" t="s">
        <v>998</v>
      </c>
      <c r="Q143" s="3" t="s">
        <v>33</v>
      </c>
      <c r="R143" s="6"/>
      <c r="S143" s="3"/>
    </row>
    <row r="144" customFormat="false" ht="23.85" hidden="false" customHeight="false" outlineLevel="0" collapsed="false">
      <c r="A144" s="8" t="s">
        <v>987</v>
      </c>
      <c r="B144" s="3" t="s">
        <v>1003</v>
      </c>
      <c r="C144" s="3" t="s">
        <v>113</v>
      </c>
      <c r="D144" s="3" t="s">
        <v>203</v>
      </c>
      <c r="E144" s="3" t="s">
        <v>23</v>
      </c>
      <c r="F144" s="3" t="s">
        <v>24</v>
      </c>
      <c r="G144" s="4" t="s">
        <v>1004</v>
      </c>
      <c r="H144" s="3" t="s">
        <v>26</v>
      </c>
      <c r="I144" s="3" t="s">
        <v>1005</v>
      </c>
      <c r="J144" s="4" t="s">
        <v>1006</v>
      </c>
      <c r="K144" s="4" t="s">
        <v>1007</v>
      </c>
      <c r="L144" s="5" t="s">
        <v>1008</v>
      </c>
      <c r="M144" s="5" t="s">
        <v>1009</v>
      </c>
      <c r="N144" s="5" t="s">
        <v>209</v>
      </c>
      <c r="O144" s="3" t="s">
        <v>1010</v>
      </c>
      <c r="P144" s="3" t="s">
        <v>1006</v>
      </c>
      <c r="Q144" s="3" t="s">
        <v>33</v>
      </c>
      <c r="R144" s="6"/>
      <c r="S144" s="3"/>
    </row>
    <row r="145" customFormat="false" ht="23.85" hidden="false" customHeight="false" outlineLevel="0" collapsed="false">
      <c r="A145" s="8" t="s">
        <v>987</v>
      </c>
      <c r="B145" s="3" t="s">
        <v>1011</v>
      </c>
      <c r="C145" s="3" t="s">
        <v>113</v>
      </c>
      <c r="D145" s="3" t="s">
        <v>203</v>
      </c>
      <c r="E145" s="3" t="s">
        <v>23</v>
      </c>
      <c r="F145" s="3" t="s">
        <v>24</v>
      </c>
      <c r="G145" s="4" t="s">
        <v>1012</v>
      </c>
      <c r="H145" s="3" t="s">
        <v>26</v>
      </c>
      <c r="I145" s="3" t="s">
        <v>1013</v>
      </c>
      <c r="J145" s="4" t="s">
        <v>1014</v>
      </c>
      <c r="K145" s="3"/>
      <c r="L145" s="5" t="s">
        <v>1015</v>
      </c>
      <c r="M145" s="5" t="s">
        <v>1009</v>
      </c>
      <c r="N145" s="5" t="s">
        <v>209</v>
      </c>
      <c r="O145" s="3" t="s">
        <v>1016</v>
      </c>
      <c r="P145" s="3" t="s">
        <v>1014</v>
      </c>
      <c r="Q145" s="3" t="s">
        <v>33</v>
      </c>
      <c r="R145" s="6"/>
      <c r="S145" s="3"/>
    </row>
    <row r="146" customFormat="false" ht="23.85" hidden="false" customHeight="false" outlineLevel="0" collapsed="false">
      <c r="A146" s="8" t="s">
        <v>987</v>
      </c>
      <c r="B146" s="3" t="s">
        <v>1017</v>
      </c>
      <c r="C146" s="3" t="s">
        <v>113</v>
      </c>
      <c r="D146" s="3" t="s">
        <v>203</v>
      </c>
      <c r="E146" s="3" t="s">
        <v>23</v>
      </c>
      <c r="F146" s="3" t="s">
        <v>115</v>
      </c>
      <c r="G146" s="4" t="s">
        <v>1018</v>
      </c>
      <c r="H146" s="3" t="s">
        <v>26</v>
      </c>
      <c r="I146" s="3" t="s">
        <v>1019</v>
      </c>
      <c r="J146" s="4" t="s">
        <v>1020</v>
      </c>
      <c r="K146" s="3"/>
      <c r="L146" s="5" t="s">
        <v>1021</v>
      </c>
      <c r="M146" s="5" t="s">
        <v>1009</v>
      </c>
      <c r="N146" s="5" t="s">
        <v>209</v>
      </c>
      <c r="O146" s="3" t="s">
        <v>1022</v>
      </c>
      <c r="P146" s="3" t="s">
        <v>1020</v>
      </c>
      <c r="Q146" s="3" t="s">
        <v>33</v>
      </c>
      <c r="R146" s="6"/>
      <c r="S146" s="3"/>
    </row>
    <row r="147" customFormat="false" ht="23.85" hidden="false" customHeight="false" outlineLevel="0" collapsed="false">
      <c r="A147" s="8" t="s">
        <v>987</v>
      </c>
      <c r="B147" s="3" t="s">
        <v>1023</v>
      </c>
      <c r="C147" s="3" t="s">
        <v>113</v>
      </c>
      <c r="D147" s="3" t="s">
        <v>123</v>
      </c>
      <c r="E147" s="3" t="s">
        <v>23</v>
      </c>
      <c r="F147" s="3" t="s">
        <v>24</v>
      </c>
      <c r="G147" s="4" t="s">
        <v>1024</v>
      </c>
      <c r="H147" s="3" t="s">
        <v>26</v>
      </c>
      <c r="I147" s="3"/>
      <c r="J147" s="4" t="s">
        <v>1025</v>
      </c>
      <c r="K147" s="4" t="s">
        <v>1026</v>
      </c>
      <c r="L147" s="5" t="s">
        <v>1027</v>
      </c>
      <c r="M147" s="5" t="s">
        <v>1028</v>
      </c>
      <c r="N147" s="5" t="s">
        <v>130</v>
      </c>
      <c r="O147" s="3" t="s">
        <v>1029</v>
      </c>
      <c r="P147" s="3" t="s">
        <v>1025</v>
      </c>
      <c r="Q147" s="3" t="s">
        <v>33</v>
      </c>
      <c r="R147" s="6"/>
      <c r="S147" s="3"/>
    </row>
    <row r="148" customFormat="false" ht="23.85" hidden="false" customHeight="false" outlineLevel="0" collapsed="false">
      <c r="A148" s="8" t="s">
        <v>987</v>
      </c>
      <c r="B148" s="3" t="s">
        <v>1030</v>
      </c>
      <c r="C148" s="3" t="s">
        <v>113</v>
      </c>
      <c r="D148" s="3" t="s">
        <v>203</v>
      </c>
      <c r="E148" s="3" t="s">
        <v>23</v>
      </c>
      <c r="F148" s="3" t="s">
        <v>115</v>
      </c>
      <c r="G148" s="4" t="s">
        <v>1031</v>
      </c>
      <c r="H148" s="3" t="s">
        <v>26</v>
      </c>
      <c r="I148" s="3"/>
      <c r="J148" s="4" t="s">
        <v>1032</v>
      </c>
      <c r="K148" s="3"/>
      <c r="L148" s="5" t="s">
        <v>1033</v>
      </c>
      <c r="M148" s="5" t="s">
        <v>1009</v>
      </c>
      <c r="N148" s="5" t="s">
        <v>209</v>
      </c>
      <c r="O148" s="3" t="s">
        <v>1034</v>
      </c>
      <c r="P148" s="3" t="s">
        <v>1035</v>
      </c>
      <c r="Q148" s="3" t="s">
        <v>33</v>
      </c>
      <c r="R148" s="6"/>
      <c r="S148" s="3"/>
    </row>
    <row r="149" customFormat="false" ht="23.85" hidden="false" customHeight="false" outlineLevel="0" collapsed="false">
      <c r="A149" s="8" t="s">
        <v>987</v>
      </c>
      <c r="B149" s="3" t="s">
        <v>1036</v>
      </c>
      <c r="C149" s="3" t="s">
        <v>113</v>
      </c>
      <c r="D149" s="3" t="s">
        <v>203</v>
      </c>
      <c r="E149" s="3" t="s">
        <v>23</v>
      </c>
      <c r="F149" s="3" t="s">
        <v>473</v>
      </c>
      <c r="G149" s="4" t="s">
        <v>1037</v>
      </c>
      <c r="H149" s="3" t="s">
        <v>62</v>
      </c>
      <c r="I149" s="3" t="s">
        <v>1038</v>
      </c>
      <c r="J149" s="4" t="s">
        <v>1039</v>
      </c>
      <c r="K149" s="3"/>
      <c r="L149" s="5" t="s">
        <v>1040</v>
      </c>
      <c r="M149" s="5" t="s">
        <v>1009</v>
      </c>
      <c r="N149" s="5" t="s">
        <v>209</v>
      </c>
      <c r="O149" s="3" t="s">
        <v>1041</v>
      </c>
      <c r="P149" s="3" t="s">
        <v>1042</v>
      </c>
      <c r="Q149" s="3" t="s">
        <v>33</v>
      </c>
      <c r="R149" s="6"/>
      <c r="S149" s="3"/>
    </row>
    <row r="150" customFormat="false" ht="23.85" hidden="false" customHeight="false" outlineLevel="0" collapsed="false">
      <c r="A150" s="8" t="s">
        <v>987</v>
      </c>
      <c r="B150" s="3" t="s">
        <v>1043</v>
      </c>
      <c r="C150" s="3" t="s">
        <v>113</v>
      </c>
      <c r="D150" s="3" t="s">
        <v>203</v>
      </c>
      <c r="E150" s="3" t="s">
        <v>23</v>
      </c>
      <c r="F150" s="3" t="s">
        <v>24</v>
      </c>
      <c r="G150" s="4" t="s">
        <v>1044</v>
      </c>
      <c r="H150" s="3" t="s">
        <v>26</v>
      </c>
      <c r="I150" s="3" t="s">
        <v>1045</v>
      </c>
      <c r="J150" s="4" t="s">
        <v>1046</v>
      </c>
      <c r="K150" s="4" t="s">
        <v>1047</v>
      </c>
      <c r="L150" s="5" t="s">
        <v>1048</v>
      </c>
      <c r="M150" s="5" t="s">
        <v>1009</v>
      </c>
      <c r="N150" s="5" t="s">
        <v>209</v>
      </c>
      <c r="O150" s="3" t="s">
        <v>1049</v>
      </c>
      <c r="P150" s="3" t="s">
        <v>1046</v>
      </c>
      <c r="Q150" s="3" t="s">
        <v>33</v>
      </c>
      <c r="R150" s="6"/>
      <c r="S150" s="3"/>
    </row>
    <row r="151" customFormat="false" ht="23.85" hidden="false" customHeight="false" outlineLevel="0" collapsed="false">
      <c r="A151" s="8" t="s">
        <v>987</v>
      </c>
      <c r="B151" s="3" t="s">
        <v>1050</v>
      </c>
      <c r="C151" s="3" t="s">
        <v>113</v>
      </c>
      <c r="D151" s="3" t="s">
        <v>203</v>
      </c>
      <c r="E151" s="3" t="s">
        <v>23</v>
      </c>
      <c r="F151" s="3" t="s">
        <v>24</v>
      </c>
      <c r="G151" s="4" t="s">
        <v>1051</v>
      </c>
      <c r="H151" s="3" t="s">
        <v>26</v>
      </c>
      <c r="I151" s="3"/>
      <c r="J151" s="4" t="s">
        <v>1052</v>
      </c>
      <c r="K151" s="3"/>
      <c r="L151" s="5" t="s">
        <v>1053</v>
      </c>
      <c r="M151" s="5" t="s">
        <v>1009</v>
      </c>
      <c r="N151" s="5" t="s">
        <v>209</v>
      </c>
      <c r="O151" s="3" t="s">
        <v>1054</v>
      </c>
      <c r="P151" s="3" t="s">
        <v>1055</v>
      </c>
      <c r="Q151" s="3" t="s">
        <v>33</v>
      </c>
      <c r="R151" s="6"/>
      <c r="S151" s="3"/>
    </row>
    <row r="152" customFormat="false" ht="23.85" hidden="false" customHeight="false" outlineLevel="0" collapsed="false">
      <c r="A152" s="8" t="s">
        <v>987</v>
      </c>
      <c r="B152" s="3" t="s">
        <v>1056</v>
      </c>
      <c r="C152" s="3" t="s">
        <v>113</v>
      </c>
      <c r="D152" s="3" t="s">
        <v>203</v>
      </c>
      <c r="E152" s="3" t="s">
        <v>23</v>
      </c>
      <c r="F152" s="3" t="s">
        <v>24</v>
      </c>
      <c r="G152" s="4" t="s">
        <v>1057</v>
      </c>
      <c r="H152" s="3" t="s">
        <v>26</v>
      </c>
      <c r="I152" s="3" t="s">
        <v>1058</v>
      </c>
      <c r="J152" s="4" t="s">
        <v>1059</v>
      </c>
      <c r="K152" s="4" t="s">
        <v>1060</v>
      </c>
      <c r="L152" s="5" t="s">
        <v>1061</v>
      </c>
      <c r="M152" s="5" t="s">
        <v>1009</v>
      </c>
      <c r="N152" s="5" t="s">
        <v>209</v>
      </c>
      <c r="O152" s="3" t="s">
        <v>1062</v>
      </c>
      <c r="P152" s="3" t="s">
        <v>1059</v>
      </c>
      <c r="Q152" s="3" t="s">
        <v>33</v>
      </c>
      <c r="R152" s="6"/>
      <c r="S152" s="3"/>
    </row>
    <row r="153" customFormat="false" ht="23.85" hidden="false" customHeight="false" outlineLevel="0" collapsed="false">
      <c r="A153" s="8" t="s">
        <v>987</v>
      </c>
      <c r="B153" s="3" t="s">
        <v>1063</v>
      </c>
      <c r="C153" s="3" t="s">
        <v>113</v>
      </c>
      <c r="D153" s="3" t="s">
        <v>123</v>
      </c>
      <c r="E153" s="3" t="s">
        <v>23</v>
      </c>
      <c r="F153" s="3" t="s">
        <v>24</v>
      </c>
      <c r="G153" s="4" t="s">
        <v>1064</v>
      </c>
      <c r="H153" s="3" t="s">
        <v>26</v>
      </c>
      <c r="I153" s="3" t="s">
        <v>1065</v>
      </c>
      <c r="J153" s="4" t="s">
        <v>1066</v>
      </c>
      <c r="K153" s="4" t="s">
        <v>1067</v>
      </c>
      <c r="L153" s="5" t="s">
        <v>1068</v>
      </c>
      <c r="M153" s="5" t="s">
        <v>1069</v>
      </c>
      <c r="N153" s="5" t="s">
        <v>130</v>
      </c>
      <c r="O153" s="3" t="s">
        <v>1070</v>
      </c>
      <c r="P153" s="3" t="s">
        <v>1066</v>
      </c>
      <c r="Q153" s="3" t="s">
        <v>33</v>
      </c>
      <c r="R153" s="6"/>
      <c r="S153" s="3"/>
    </row>
    <row r="154" customFormat="false" ht="23.85" hidden="false" customHeight="false" outlineLevel="0" collapsed="false">
      <c r="A154" s="8" t="s">
        <v>987</v>
      </c>
      <c r="B154" s="3" t="s">
        <v>1071</v>
      </c>
      <c r="C154" s="3" t="s">
        <v>21</v>
      </c>
      <c r="D154" s="3" t="s">
        <v>22</v>
      </c>
      <c r="E154" s="3" t="s">
        <v>279</v>
      </c>
      <c r="F154" s="3" t="s">
        <v>280</v>
      </c>
      <c r="G154" s="4" t="s">
        <v>1072</v>
      </c>
      <c r="H154" s="3" t="s">
        <v>26</v>
      </c>
      <c r="I154" s="3" t="s">
        <v>1073</v>
      </c>
      <c r="J154" s="4" t="s">
        <v>1074</v>
      </c>
      <c r="K154" s="4" t="s">
        <v>1075</v>
      </c>
      <c r="L154" s="5" t="s">
        <v>1076</v>
      </c>
      <c r="M154" s="5" t="s">
        <v>1077</v>
      </c>
      <c r="N154" s="5" t="s">
        <v>30</v>
      </c>
      <c r="O154" s="3" t="s">
        <v>1078</v>
      </c>
      <c r="P154" s="3" t="s">
        <v>1074</v>
      </c>
      <c r="Q154" s="3" t="s">
        <v>33</v>
      </c>
      <c r="R154" s="6"/>
      <c r="S154" s="3"/>
    </row>
    <row r="155" customFormat="false" ht="23.85" hidden="false" customHeight="false" outlineLevel="0" collapsed="false">
      <c r="A155" s="8" t="s">
        <v>987</v>
      </c>
      <c r="B155" s="3" t="s">
        <v>1079</v>
      </c>
      <c r="C155" s="3" t="s">
        <v>113</v>
      </c>
      <c r="D155" s="3" t="s">
        <v>203</v>
      </c>
      <c r="E155" s="3" t="s">
        <v>228</v>
      </c>
      <c r="F155" s="3" t="s">
        <v>263</v>
      </c>
      <c r="G155" s="4" t="s">
        <v>1080</v>
      </c>
      <c r="H155" s="3" t="s">
        <v>26</v>
      </c>
      <c r="I155" s="3" t="s">
        <v>1081</v>
      </c>
      <c r="J155" s="4" t="s">
        <v>1082</v>
      </c>
      <c r="K155" s="3"/>
      <c r="L155" s="5" t="s">
        <v>1083</v>
      </c>
      <c r="M155" s="5" t="s">
        <v>1009</v>
      </c>
      <c r="N155" s="5" t="s">
        <v>209</v>
      </c>
      <c r="O155" s="3" t="s">
        <v>1084</v>
      </c>
      <c r="P155" s="3" t="s">
        <v>1082</v>
      </c>
      <c r="Q155" s="3" t="s">
        <v>33</v>
      </c>
      <c r="R155" s="6"/>
      <c r="S155" s="3"/>
    </row>
    <row r="156" customFormat="false" ht="23.85" hidden="false" customHeight="false" outlineLevel="0" collapsed="false">
      <c r="A156" s="8" t="s">
        <v>987</v>
      </c>
      <c r="B156" s="3" t="s">
        <v>1085</v>
      </c>
      <c r="C156" s="3" t="s">
        <v>113</v>
      </c>
      <c r="D156" s="3" t="s">
        <v>203</v>
      </c>
      <c r="E156" s="3" t="s">
        <v>228</v>
      </c>
      <c r="F156" s="3" t="s">
        <v>263</v>
      </c>
      <c r="G156" s="4" t="s">
        <v>1086</v>
      </c>
      <c r="H156" s="3" t="s">
        <v>26</v>
      </c>
      <c r="I156" s="3" t="s">
        <v>1087</v>
      </c>
      <c r="J156" s="4" t="s">
        <v>1088</v>
      </c>
      <c r="K156" s="4" t="s">
        <v>1089</v>
      </c>
      <c r="L156" s="5" t="s">
        <v>1090</v>
      </c>
      <c r="M156" s="5" t="s">
        <v>1009</v>
      </c>
      <c r="N156" s="5" t="s">
        <v>209</v>
      </c>
      <c r="O156" s="3" t="s">
        <v>1091</v>
      </c>
      <c r="P156" s="3" t="s">
        <v>1088</v>
      </c>
      <c r="Q156" s="3" t="s">
        <v>33</v>
      </c>
      <c r="R156" s="6"/>
      <c r="S156" s="3"/>
    </row>
    <row r="157" customFormat="false" ht="23.85" hidden="false" customHeight="false" outlineLevel="0" collapsed="false">
      <c r="A157" s="8" t="s">
        <v>987</v>
      </c>
      <c r="B157" s="3" t="s">
        <v>1092</v>
      </c>
      <c r="C157" s="3" t="s">
        <v>113</v>
      </c>
      <c r="D157" s="3" t="s">
        <v>203</v>
      </c>
      <c r="E157" s="3" t="s">
        <v>245</v>
      </c>
      <c r="F157" s="3"/>
      <c r="G157" s="4" t="s">
        <v>1093</v>
      </c>
      <c r="H157" s="3" t="s">
        <v>26</v>
      </c>
      <c r="I157" s="3" t="s">
        <v>1094</v>
      </c>
      <c r="J157" s="4" t="s">
        <v>1095</v>
      </c>
      <c r="K157" s="4" t="s">
        <v>1096</v>
      </c>
      <c r="L157" s="5" t="s">
        <v>1097</v>
      </c>
      <c r="M157" s="5" t="s">
        <v>1009</v>
      </c>
      <c r="N157" s="5" t="s">
        <v>209</v>
      </c>
      <c r="O157" s="3" t="s">
        <v>1098</v>
      </c>
      <c r="P157" s="3" t="s">
        <v>1095</v>
      </c>
      <c r="Q157" s="3" t="s">
        <v>33</v>
      </c>
      <c r="R157" s="6"/>
      <c r="S157" s="3"/>
    </row>
    <row r="158" customFormat="false" ht="23.85" hidden="false" customHeight="false" outlineLevel="0" collapsed="false">
      <c r="A158" s="8" t="s">
        <v>987</v>
      </c>
      <c r="B158" s="3" t="s">
        <v>1099</v>
      </c>
      <c r="C158" s="3" t="s">
        <v>113</v>
      </c>
      <c r="D158" s="3" t="s">
        <v>203</v>
      </c>
      <c r="E158" s="3" t="s">
        <v>23</v>
      </c>
      <c r="F158" s="3" t="s">
        <v>115</v>
      </c>
      <c r="G158" s="3"/>
      <c r="H158" s="3" t="s">
        <v>434</v>
      </c>
      <c r="I158" s="3" t="s">
        <v>1100</v>
      </c>
      <c r="J158" s="4" t="s">
        <v>1101</v>
      </c>
      <c r="K158" s="4" t="s">
        <v>1102</v>
      </c>
      <c r="L158" s="5" t="s">
        <v>1103</v>
      </c>
      <c r="M158" s="5" t="s">
        <v>1009</v>
      </c>
      <c r="N158" s="5" t="s">
        <v>209</v>
      </c>
      <c r="O158" s="3" t="s">
        <v>1104</v>
      </c>
      <c r="P158" s="3"/>
      <c r="Q158" s="3" t="s">
        <v>33</v>
      </c>
      <c r="R158" s="6"/>
      <c r="S158" s="3"/>
    </row>
    <row r="159" customFormat="false" ht="23.85" hidden="false" customHeight="false" outlineLevel="0" collapsed="false">
      <c r="A159" s="8" t="s">
        <v>987</v>
      </c>
      <c r="B159" s="3" t="s">
        <v>1105</v>
      </c>
      <c r="C159" s="3" t="s">
        <v>113</v>
      </c>
      <c r="D159" s="3" t="s">
        <v>123</v>
      </c>
      <c r="E159" s="3" t="s">
        <v>23</v>
      </c>
      <c r="F159" s="3" t="s">
        <v>24</v>
      </c>
      <c r="G159" s="3"/>
      <c r="H159" s="3" t="s">
        <v>434</v>
      </c>
      <c r="I159" s="3"/>
      <c r="J159" s="4" t="s">
        <v>1106</v>
      </c>
      <c r="K159" s="4" t="s">
        <v>1107</v>
      </c>
      <c r="L159" s="5" t="s">
        <v>1108</v>
      </c>
      <c r="M159" s="5" t="s">
        <v>1109</v>
      </c>
      <c r="N159" s="5" t="s">
        <v>130</v>
      </c>
      <c r="O159" s="3" t="s">
        <v>1110</v>
      </c>
      <c r="P159" s="3"/>
      <c r="Q159" s="3" t="s">
        <v>33</v>
      </c>
      <c r="R159" s="6"/>
      <c r="S159" s="3"/>
    </row>
    <row r="160" customFormat="false" ht="23.85" hidden="false" customHeight="false" outlineLevel="0" collapsed="false">
      <c r="A160" s="8" t="s">
        <v>987</v>
      </c>
      <c r="B160" s="3" t="s">
        <v>1111</v>
      </c>
      <c r="C160" s="3" t="s">
        <v>113</v>
      </c>
      <c r="D160" s="3" t="s">
        <v>203</v>
      </c>
      <c r="E160" s="3" t="s">
        <v>245</v>
      </c>
      <c r="F160" s="3"/>
      <c r="G160" s="3"/>
      <c r="H160" s="3" t="s">
        <v>434</v>
      </c>
      <c r="I160" s="3" t="s">
        <v>1112</v>
      </c>
      <c r="J160" s="4" t="s">
        <v>1113</v>
      </c>
      <c r="K160" s="3"/>
      <c r="L160" s="5" t="s">
        <v>1114</v>
      </c>
      <c r="M160" s="5" t="s">
        <v>1009</v>
      </c>
      <c r="N160" s="5" t="s">
        <v>209</v>
      </c>
      <c r="O160" s="3" t="s">
        <v>1115</v>
      </c>
      <c r="P160" s="3"/>
      <c r="Q160" s="3" t="s">
        <v>33</v>
      </c>
      <c r="R160" s="6"/>
      <c r="S160" s="3"/>
    </row>
    <row r="161" customFormat="false" ht="23.85" hidden="false" customHeight="false" outlineLevel="0" collapsed="false">
      <c r="A161" s="8" t="s">
        <v>987</v>
      </c>
      <c r="B161" s="3" t="s">
        <v>1116</v>
      </c>
      <c r="C161" s="3" t="s">
        <v>113</v>
      </c>
      <c r="D161" s="3" t="s">
        <v>203</v>
      </c>
      <c r="E161" s="3" t="s">
        <v>799</v>
      </c>
      <c r="F161" s="3" t="s">
        <v>800</v>
      </c>
      <c r="G161" s="3"/>
      <c r="H161" s="3" t="s">
        <v>434</v>
      </c>
      <c r="I161" s="3"/>
      <c r="J161" s="4" t="s">
        <v>1117</v>
      </c>
      <c r="K161" s="3"/>
      <c r="L161" s="5" t="s">
        <v>1118</v>
      </c>
      <c r="M161" s="5" t="s">
        <v>1119</v>
      </c>
      <c r="N161" s="5" t="s">
        <v>209</v>
      </c>
      <c r="O161" s="3" t="s">
        <v>1120</v>
      </c>
      <c r="P161" s="3"/>
      <c r="Q161" s="3" t="s">
        <v>33</v>
      </c>
      <c r="R161" s="6"/>
      <c r="S161" s="3"/>
    </row>
  </sheetData>
  <autoFilter ref="A1:S161"/>
  <dataValidations count="1">
    <dataValidation allowBlank="true" errorStyle="stop" operator="between" showDropDown="false" showErrorMessage="false" showInputMessage="false" sqref="Q2:Q161" type="list">
      <formula1>"Not contacted,Sent,Follow-up 1 sent,Follow-up 2 sent,Replied,Meeting booked,Not interested,Bounced"</formula1>
      <formula2>0</formula2>
    </dataValidation>
  </dataValidations>
  <hyperlinks>
    <hyperlink ref="G2" r:id="rId1" display="info@dutumgroup.com"/>
    <hyperlink ref="J2" r:id="rId2" display="https://dutumgroup.com/"/>
    <hyperlink ref="G3" r:id="rId3" display="elektrintlagos@elektrint.com"/>
    <hyperlink ref="J3" r:id="rId4" display="https://www.elektrint.com/"/>
    <hyperlink ref="K3" r:id="rId5" display="https://www.linkedin.com/company/elektrint-nigeria-ltd./"/>
    <hyperlink ref="G4" r:id="rId6" display="bd@globalpfi.com"/>
    <hyperlink ref="J4" r:id="rId7" display="https://gpfi.ng/"/>
    <hyperlink ref="K4" r:id="rId8" display="https://www.linkedin.com/company/gpfinigeria"/>
    <hyperlink ref="G5" r:id="rId9" display="info@jidetaiwoandco.com"/>
    <hyperlink ref="J5" r:id="rId10" display="https://jidetaiwoandco.com/"/>
    <hyperlink ref="G6" r:id="rId11" display="kleenol@yahoo.co.uk"/>
    <hyperlink ref="J6" r:id="rId12" display="https://www.kleenolng.com/"/>
    <hyperlink ref="K6" r:id="rId13" display="https://www.linkedin.com/company/kleenol-nigeria-professional-cleaning-services-company/"/>
    <hyperlink ref="G7" r:id="rId14" display="kresta@krestalaurel.com"/>
    <hyperlink ref="J7" r:id="rId15" display="https://krestalaurel.com/"/>
    <hyperlink ref="K7" r:id="rId16" display="https://www.linkedin.com/company/kresta-laurel-limited/"/>
    <hyperlink ref="G8" r:id="rId17" display="info@liftelevator.com.ng"/>
    <hyperlink ref="J8" r:id="rId18" display="https://www.liftelevator.com.ng/"/>
    <hyperlink ref="G9" r:id="rId19" display="hello@orakl-solutions.com"/>
    <hyperlink ref="J9" r:id="rId20" display="https://orakl-solutions.com/"/>
    <hyperlink ref="K9" r:id="rId21" display="https://www.linkedin.com/company/orakl-solutions/"/>
    <hyperlink ref="G10" r:id="rId22" display="info@sarakeys.com.ng"/>
    <hyperlink ref="J10" r:id="rId23" display="http://www.sarakeys.com.ng/"/>
    <hyperlink ref="G11" r:id="rId24" display="info@solidrockfacilitymanagers.com"/>
    <hyperlink ref="J11" r:id="rId25" display="http://solidrockfacilitymanagers.com/"/>
    <hyperlink ref="G12" r:id="rId26" display="info@tecnicoolnig.com"/>
    <hyperlink ref="J12" r:id="rId27" display="https://tecnicoolnig.com/"/>
    <hyperlink ref="G13" r:id="rId28" display="info@ashipaelectric.com"/>
    <hyperlink ref="J13" r:id="rId29" display="https://www.ashipaelectric.com"/>
    <hyperlink ref="K13" r:id="rId30" display="https://www.linkedin.com/company/ashipaelectric/"/>
    <hyperlink ref="G14" r:id="rId31" display="info@dbenergy.com.ng"/>
    <hyperlink ref="J14" r:id="rId32" display="https://www.dbenergy.ng"/>
    <hyperlink ref="K14" r:id="rId33" display="https://linkedin.com/company/dbenergy"/>
    <hyperlink ref="G15" r:id="rId34" display="support@darwaycoast.com"/>
    <hyperlink ref="J15" r:id="rId35" display="https://darwaycoast.com"/>
    <hyperlink ref="K15" r:id="rId36" display="https://www.linkedin.com/company/darway-coast-ltd"/>
    <hyperlink ref="G16" r:id="rId37" display="info@emone.energy"/>
    <hyperlink ref="J16" r:id="rId38" display="https://www.emone.energy"/>
    <hyperlink ref="K16" r:id="rId39" display="https://ca.linkedin.com/company/em-one-energy"/>
    <hyperlink ref="G17" r:id="rId40" display="info@etinpower.com"/>
    <hyperlink ref="J17" r:id="rId41" display="https://www.etinpower.com"/>
    <hyperlink ref="K17" r:id="rId42" display="https://linkedin.com/company/etinpowerlimited"/>
    <hyperlink ref="G18" r:id="rId43" display="contact@greenagetech.com"/>
    <hyperlink ref="J18" r:id="rId44" display="https://greenagetech.com"/>
    <hyperlink ref="K18" r:id="rId45" display="https://ng.linkedin.com/company/greenage-technologies"/>
    <hyperlink ref="G19" r:id="rId46" display="info@havenhillsynergy.com"/>
    <hyperlink ref="J19" r:id="rId47" display="https://havenhillsynergy.com"/>
    <hyperlink ref="K19" r:id="rId48" display="https://www.linkedin.com/company/havenhill-synergy/"/>
    <hyperlink ref="G20" r:id="rId49" display="info@indicelsolar.com"/>
    <hyperlink ref="J20" r:id="rId50" display="https://indicelsolar.com"/>
    <hyperlink ref="G21" r:id="rId51" display="info@pradopower.org"/>
    <hyperlink ref="J21" r:id="rId52" display="https://www.pradopower.org"/>
    <hyperlink ref="K21" r:id="rId53" display="https://www.linkedin.com/company/11107148"/>
    <hyperlink ref="G22" r:id="rId54" display="info@prividaenergy.com"/>
    <hyperlink ref="J22" r:id="rId55" display="https://www.prividaenergy.com"/>
    <hyperlink ref="K22" r:id="rId56" display="https://www.linkedin.com/company/privida-energy"/>
    <hyperlink ref="G23" r:id="rId57" display="info@protergiaenergy.com"/>
    <hyperlink ref="J23" r:id="rId58" display="https://protergiaenergy.com"/>
    <hyperlink ref="K23" r:id="rId59" display="https://www.linkedin.com/company/protergiaenergy/"/>
    <hyperlink ref="G24" r:id="rId60" display="info@rubitecsolar.com"/>
    <hyperlink ref="J24" r:id="rId61" display="https://rubitecsolar.com"/>
    <hyperlink ref="G25" r:id="rId62" display="admin@solarlify.com.ng"/>
    <hyperlink ref="J25" r:id="rId63" display="https://solarlify.com.ng"/>
    <hyperlink ref="G26" r:id="rId64" display="sosai@sosairen.org"/>
    <hyperlink ref="J26" r:id="rId65" display="https://sosairen.org"/>
    <hyperlink ref="K26" r:id="rId66" display="https://www.linkedin.com/company/sosai-renewable-energies-company/"/>
    <hyperlink ref="G27" r:id="rId67" display="info@sunhive.com"/>
    <hyperlink ref="J27" r:id="rId68" display="https://sunhive.com"/>
    <hyperlink ref="K27" r:id="rId69" display="https://www.linkedin.com/company/sunhive-ltd/"/>
    <hyperlink ref="G28" r:id="rId70" display="support@cetechbpa.com"/>
    <hyperlink ref="J28" r:id="rId71" display="https://cetechbpa.com/"/>
    <hyperlink ref="G29" r:id="rId72" display="info@dm.co.tz"/>
    <hyperlink ref="J29" r:id="rId73" display="https://dm.co.tz/"/>
    <hyperlink ref="K29" r:id="rId74" display="https://www.linkedin.com/company/dmtl-africa"/>
    <hyperlink ref="G30" r:id="rId75" display="sales@elevatorcompany.co.za"/>
    <hyperlink ref="J30" r:id="rId76" display="https://elevatorcompany.co.za/"/>
    <hyperlink ref="K30" r:id="rId77" display="https://www.linkedin.com/company/elevator-maintenance-company/"/>
    <hyperlink ref="G31" r:id="rId78" display="info@fm-solutions.co.za"/>
    <hyperlink ref="J31" r:id="rId79" display="https://www.fm-solutions.co.za/"/>
    <hyperlink ref="K31" r:id="rId80" display="https://www.linkedin.com/company/afroteq-fm-solutions"/>
    <hyperlink ref="G32" r:id="rId81" display="sales@gammaheightseng.com"/>
    <hyperlink ref="J32" r:id="rId82" display="https://gammaheightseng.com/"/>
    <hyperlink ref="G33" r:id="rId83" display="info@leafyspace.co.za"/>
    <hyperlink ref="J33" r:id="rId84" display="https://leafyspace.co.za/"/>
    <hyperlink ref="K33" r:id="rId85" display="https://www.linkedin.com/company/leafyspace/"/>
    <hyperlink ref="G34" r:id="rId86" display="mcoolelectroengineeringlimited@gmail.com"/>
    <hyperlink ref="J34" r:id="rId87" display="https://mcool.co.ke/"/>
    <hyperlink ref="G35" r:id="rId88" display="info@musandahfm.com"/>
    <hyperlink ref="J35" r:id="rId89" display="https://musandahfm.com/"/>
    <hyperlink ref="K35" r:id="rId90" display="https://www.linkedin.com/company/musandahassetsandfm/"/>
    <hyperlink ref="G36" r:id="rId91" display="info@pkbaengineeringco.com"/>
    <hyperlink ref="J36" r:id="rId92" display="https://pkbaengineeringco.com/"/>
    <hyperlink ref="G37" r:id="rId93" display="info@relislifts.co.za"/>
    <hyperlink ref="J37" r:id="rId94" display="https://relislifts.co.za/"/>
    <hyperlink ref="G38" r:id="rId95" display="sales@riseelevators.co.za"/>
    <hyperlink ref="J38" r:id="rId96" display="https://www.riseelevators.co.za/"/>
    <hyperlink ref="G39" r:id="rId97" display="fs@spxsa.com"/>
    <hyperlink ref="J39" r:id="rId98" display="https://spxsa.com/"/>
    <hyperlink ref="G40" r:id="rId99" display="info@arcpower.co"/>
    <hyperlink ref="J40" r:id="rId100" display="https://arcpower.co/"/>
    <hyperlink ref="K40" r:id="rId101" display="https://www.linkedin.com/company/arc-power-rw/"/>
    <hyperlink ref="G41" r:id="rId102" display="info@ariyafinergy.com"/>
    <hyperlink ref="J41" r:id="rId103" display="https://ariyafinergy.com/"/>
    <hyperlink ref="K41" r:id="rId104" display="https://www.linkedin.com/company/ariya-finergy"/>
    <hyperlink ref="G42" r:id="rId105" display="info@energypartners.co.za"/>
    <hyperlink ref="J42" r:id="rId106" display="https://energypartners.co.za/"/>
    <hyperlink ref="K42" r:id="rId107" display="https://za.linkedin.com/company/energy-partners-"/>
    <hyperlink ref="G43" r:id="rId108" display="info@ensol.co.tz"/>
    <hyperlink ref="J43" r:id="rId109" display="https://ensol.co.tz/"/>
    <hyperlink ref="K43" r:id="rId110" display="https://www.linkedin.com/company/ensol-tanzania-limited"/>
    <hyperlink ref="G44" r:id="rId111" display="mail@equator.energy"/>
    <hyperlink ref="J44" r:id="rId112" display="https://equator.energy/"/>
    <hyperlink ref="G45" r:id="rId113" display="sales@forestenergy.co.za"/>
    <hyperlink ref="J45" r:id="rId114" display="https://www.forestenergy.co.za/"/>
    <hyperlink ref="K45" r:id="rId115" display="https://www.linkedin.com/company/forestenergysolutions/"/>
    <hyperlink ref="G46" r:id="rId116" display="info@jumeme.com"/>
    <hyperlink ref="J46" r:id="rId117" display="https://www.jumeme.com/"/>
    <hyperlink ref="G47" r:id="rId118" display="sales@muhanyasolar.com"/>
    <hyperlink ref="J47" r:id="rId119" display="https://www.muhanyasolar.com/"/>
    <hyperlink ref="G48" r:id="rId120" display="info@newsouthernenergy.com"/>
    <hyperlink ref="J48" r:id="rId121" display="https://www.nse.africa/"/>
    <hyperlink ref="K48" r:id="rId122" display="https://www.linkedin.com/company/new-southern-energy/"/>
    <hyperlink ref="G49" r:id="rId123" display="info@powergen-re.com"/>
    <hyperlink ref="J49" r:id="rId124" display="https://powergen-renewable-energy.com/"/>
    <hyperlink ref="G50" r:id="rId125" display="info@powerhut.co.tz"/>
    <hyperlink ref="J50" r:id="rId126" display="https://powerhut.co.tz/"/>
    <hyperlink ref="G51" r:id="rId127" display="sales@safi-power.com"/>
    <hyperlink ref="J51" r:id="rId128" display="https://safi-power.com/"/>
    <hyperlink ref="K51" r:id="rId129" display="https://www.linkedin.com/company/safi-power/"/>
    <hyperlink ref="G52" r:id="rId130" display="info@solar-om.co.za"/>
    <hyperlink ref="J52" r:id="rId131" display="https://www.solar-om.co.za/"/>
    <hyperlink ref="G53" r:id="rId132" display="info@solareff.co.za"/>
    <hyperlink ref="J53" r:id="rId133" display="https://www.solareff.co.za/"/>
    <hyperlink ref="G54" r:id="rId134" display="info@wilkinsengineering.com"/>
    <hyperlink ref="J54" r:id="rId135" display="https://wilkinsengineering.com/"/>
    <hyperlink ref="K54" r:id="rId136" display="https://www.linkedin.com/company/wilkins-engineering-limited"/>
    <hyperlink ref="J55" r:id="rId137" display="https://cresttechnicalservices.com/"/>
    <hyperlink ref="J56" r:id="rId138" display="https://www.jamescubittfacilities.com/"/>
    <hyperlink ref="K56" r:id="rId139" display="https://ng.linkedin.com/company/james-cubitt-facilities-managers"/>
    <hyperlink ref="J57" r:id="rId140" display="https://acoblighting.com"/>
    <hyperlink ref="J58" r:id="rId141" display="https://ashdamsolar.com"/>
    <hyperlink ref="K58" r:id="rId142" display="https://ng.linkedin.com/company/ashdamsolar"/>
    <hyperlink ref="J59" r:id="rId143" display="https://www.ceesolar.com"/>
    <hyperlink ref="J60" r:id="rId144" display="https://gve-group.com"/>
    <hyperlink ref="J61" r:id="rId145" display="https://meperictrictech.com/"/>
    <hyperlink ref="J62" r:id="rId146" display="https://standardmicrogrid.com/"/>
    <hyperlink ref="G63" r:id="rId147" display="auduimonikheandco@gmail.com"/>
    <hyperlink ref="J63" r:id="rId148" display="https://auduimonikheandco.com/"/>
    <hyperlink ref="G64" r:id="rId149" display="info@betacoolltd.com"/>
    <hyperlink ref="J64" r:id="rId150" display="https://betacoolltd.com/"/>
    <hyperlink ref="K64" r:id="rId151" display="https://www.linkedin.com/company/betacoolltd"/>
    <hyperlink ref="G65" r:id="rId152" display="info@bloompfm.com"/>
    <hyperlink ref="J65" r:id="rId153" display="https://bloompfm.com/"/>
    <hyperlink ref="G66" r:id="rId154" display="bpl@rtbriscoe.com"/>
    <hyperlink ref="J66" r:id="rId155" display="https://briscoeproperties.com/"/>
    <hyperlink ref="K66" r:id="rId156" display="https://ng.linkedin.com/company/briscoe-properties-limited"/>
    <hyperlink ref="G67" r:id="rId157" display="info@chrelectmep.com"/>
    <hyperlink ref="J67" r:id="rId158" display="https://chrelectmep.com/"/>
    <hyperlink ref="G68" r:id="rId159" display="info@cxallng.com"/>
    <hyperlink ref="J68" r:id="rId160" display="https://cxallng.com/"/>
    <hyperlink ref="G69" r:id="rId161" display="info@ekomaintenance.com"/>
    <hyperlink ref="J69" r:id="rId162" display="https://www.ekomaintenance.com/"/>
    <hyperlink ref="K69" r:id="rId163" display="https://www.linkedin.com/company/eko-maintenance-limited/"/>
    <hyperlink ref="G70" r:id="rId164" display="info@essentialfacilitymgt.com"/>
    <hyperlink ref="J70" r:id="rId165" display="https://essentialfacilitymgt.com/"/>
    <hyperlink ref="G71" r:id="rId166" display="info@greenfacilitiesltd.com"/>
    <hyperlink ref="J71" r:id="rId167" display="https://greenfacilitiesltd.com/"/>
    <hyperlink ref="K71" r:id="rId168" display="https://www.linkedin.com/company/greenfacltd/"/>
    <hyperlink ref="G72" r:id="rId169" display="info@greenboxfacilities.com"/>
    <hyperlink ref="J72" r:id="rId170" display="https://greenboxfacilities.com/"/>
    <hyperlink ref="G73" r:id="rId171" display="info@ikonfacilities.com"/>
    <hyperlink ref="J73" r:id="rId172" display="https://ikonfacilities.com/"/>
    <hyperlink ref="K73" r:id="rId173" display="https://www.linkedin.com/company/ikon-facilities/"/>
    <hyperlink ref="G74" r:id="rId174" display="info@marvelhomespm.com"/>
    <hyperlink ref="J74" r:id="rId175" display="https://www.marvelhomespm.com/"/>
    <hyperlink ref="G75" r:id="rId176" display="info@maxmigold.com"/>
    <hyperlink ref="J75" r:id="rId177" display="https://maxmigold.com/"/>
    <hyperlink ref="G76" r:id="rId178" display="info@mosaicmanagementltd.com"/>
    <hyperlink ref="J76" r:id="rId179" display="https://mosaicmanagementltd.com/"/>
    <hyperlink ref="G77" r:id="rId180" display="contact@oviswift.com"/>
    <hyperlink ref="J77" r:id="rId181" display="https://oviswift.com/"/>
    <hyperlink ref="K77" r:id="rId182" display="https://www.linkedin.com/company/oviswift-enigineering-consultancy-limited/"/>
    <hyperlink ref="G78" r:id="rId183" display="primecooltech.ng@gmail.com"/>
    <hyperlink ref="J78" r:id="rId184" display="https://primecooltech.ng/"/>
    <hyperlink ref="G79" r:id="rId185" display="info@principalfml.com"/>
    <hyperlink ref="J79" r:id="rId186" display="https://principalfml.com/"/>
    <hyperlink ref="K79" r:id="rId187" display="https://www.linkedin.com/company/principal-fml"/>
    <hyperlink ref="G80" r:id="rId188" display="info@provastltd.com"/>
    <hyperlink ref="J80" r:id="rId189" display="https://provastltd.com/"/>
    <hyperlink ref="K80" r:id="rId190" display="https://www.linkedin.com/company/provast-limited/"/>
    <hyperlink ref="G81" r:id="rId191" display="info@prysmfacilities.com"/>
    <hyperlink ref="J81" r:id="rId192" display="https://prysmfacilities.com/"/>
    <hyperlink ref="G82" r:id="rId193" display="business.rpfacilities@gmail.com"/>
    <hyperlink ref="J82" r:id="rId194" display="https://www.rpfacilities.com/"/>
    <hyperlink ref="K82" r:id="rId195" display="https://www.linkedin.com/company/rp-facilities-management/"/>
    <hyperlink ref="G83" r:id="rId196" display="info@aoc-group.net"/>
    <hyperlink ref="J83" r:id="rId197" display="https://rhapsodyfm.com/"/>
    <hyperlink ref="K83" r:id="rId198" display="https://www.linkedin.com/company/aoc-real-estate-group/"/>
    <hyperlink ref="G84" r:id="rId199" display="helpdesk@sefacilities.com"/>
    <hyperlink ref="J84" r:id="rId200" display="https://sefacilities.com/"/>
    <hyperlink ref="G85" r:id="rId201" display="info@tfmlconsultant.com"/>
    <hyperlink ref="J85" r:id="rId202" display="https://www.tfmlconsultant.com/"/>
    <hyperlink ref="K85" r:id="rId203" display="https://ng.linkedin.com/company/tfml"/>
    <hyperlink ref="G86" r:id="rId204" display="info@updcfm.com"/>
    <hyperlink ref="J86" r:id="rId205" display="https://updcfm.com/"/>
    <hyperlink ref="K86" r:id="rId206" display="https://www.linkedin.com/company/updc-facility-management-limited/"/>
    <hyperlink ref="G87" r:id="rId207" display="info@alexoll.com"/>
    <hyperlink ref="J87" r:id="rId208" display="https://alexoll.com"/>
    <hyperlink ref="G88" r:id="rId209" display="info@eauxwell.com"/>
    <hyperlink ref="J88" r:id="rId210" display="https://eauxwell.com"/>
    <hyperlink ref="G89" r:id="rId211" display="customercare@gennextechnologies.com"/>
    <hyperlink ref="J89" r:id="rId212" display="https://gennextechnologies.com"/>
    <hyperlink ref="K89" r:id="rId213" display="https://www.linkedin.com/company/gennextechnologies/"/>
    <hyperlink ref="G90" r:id="rId214" display="Info@hakunasolar.com"/>
    <hyperlink ref="J90" r:id="rId215" display="https://hakunasolar.com"/>
    <hyperlink ref="G91" r:id="rId216" display="info@solarforcenigeria.com"/>
    <hyperlink ref="J91" r:id="rId217" display="https://www.solarforcenigeria.com"/>
    <hyperlink ref="K91" r:id="rId218" display="https://ng.linkedin.com/company/solarforce-nigeria-ltd"/>
    <hyperlink ref="G92" r:id="rId219" display="info@bestcareservices.co.ke"/>
    <hyperlink ref="J92" r:id="rId220" display="https://bestcareservices.co.ke/"/>
    <hyperlink ref="G93" r:id="rId221" display="ccfm@chezo.africa"/>
    <hyperlink ref="J93" r:id="rId222" display="https://cleaning.chezo.africa/"/>
    <hyperlink ref="G94" r:id="rId223" display="info@cyusatech.com"/>
    <hyperlink ref="J94" r:id="rId224" display="https://cyusatech.com/"/>
    <hyperlink ref="G95" r:id="rId225" display="info@deprissgrp.co.ke"/>
    <hyperlink ref="J95" r:id="rId226" display="https://deprissgrp.co.ke/"/>
    <hyperlink ref="K95" r:id="rId227" display="https://www.linkedin.com/company/deprissifm"/>
    <hyperlink ref="G96" r:id="rId228" display="info@emdad-fm.com"/>
    <hyperlink ref="J96" r:id="rId229" display="https://emdad-fm.com/"/>
    <hyperlink ref="G97" r:id="rId230" display="info@expertech-eg.com"/>
    <hyperlink ref="J97" r:id="rId231" display="https://expertech-eg.com/"/>
    <hyperlink ref="K97" r:id="rId232" display="http://www.linkedin.com/company/expertecheg"/>
    <hyperlink ref="G98" r:id="rId233" display="info@fidesgroupgh.com"/>
    <hyperlink ref="J98" r:id="rId234" display="https://www.fidesgroupgh.com/"/>
    <hyperlink ref="K98" r:id="rId235" display="https://www.linkedin.com/in/fides-group-4a14a7160/"/>
    <hyperlink ref="G99" r:id="rId236" display="support@gna.co.ke"/>
    <hyperlink ref="J99" r:id="rId237" display="https://gna.co.ke/"/>
    <hyperlink ref="K99" r:id="rId238" display="https://www.linkedin.com/company/gnarealestate/about/"/>
    <hyperlink ref="G100" r:id="rId239" display="tunga@greenspace.rw"/>
    <hyperlink ref="J100" r:id="rId240" display="https://greenspace.rw/"/>
    <hyperlink ref="G101" r:id="rId241" display="Info@hom-egypt.com"/>
    <hyperlink ref="J101" r:id="rId242" display="https://hom-egypt.com/"/>
    <hyperlink ref="K101" r:id="rId243" display="https://www.linkedin.com/company/hom-egyplinkedin-com/"/>
    <hyperlink ref="G102" r:id="rId244" display="info@handymenaccra.com"/>
    <hyperlink ref="J102" r:id="rId245" display="https://handymenaccra.com/"/>
    <hyperlink ref="G103" r:id="rId246" display="info@harvestfacilities.com"/>
    <hyperlink ref="J103" r:id="rId247" display="https://harvestfacilities.com/"/>
    <hyperlink ref="G104" r:id="rId248" display="info@hotarctic.co.ke"/>
    <hyperlink ref="J104" r:id="rId249" display="https://hotarctic.co.ke/"/>
    <hyperlink ref="K104" r:id="rId250" display="https://www.linkedin.com/in/hotarctic-heating-and-cooling-920a05169/"/>
    <hyperlink ref="G105" r:id="rId251" display="info@kelmenggh.com"/>
    <hyperlink ref="J105" r:id="rId252" display="https://www.kelmenggh.com/"/>
    <hyperlink ref="G106" r:id="rId253" display="info@kleenair.co.tz"/>
    <hyperlink ref="J106" r:id="rId254" display="https://www.kleenair.co.tz/"/>
    <hyperlink ref="G107" r:id="rId255" display="info@prestigehvacghltd.com"/>
    <hyperlink ref="J107" r:id="rId256" display="https://prestigehvacghltd.com/"/>
    <hyperlink ref="G108" r:id="rId257" display="info@standardsfm.com"/>
    <hyperlink ref="J108" r:id="rId258" display="https://standardsfm.com/"/>
    <hyperlink ref="K108" r:id="rId259" display="https://www.linkedin.com/company/standardsfm"/>
    <hyperlink ref="G109" r:id="rId260" display="info@tefla.co.za"/>
    <hyperlink ref="J109" r:id="rId261" display="https://tefla.co.za/"/>
    <hyperlink ref="K109" r:id="rId262" display="https://www.linkedin.com/company/tefla-group"/>
    <hyperlink ref="G110" r:id="rId263" display="contact@thais.ma"/>
    <hyperlink ref="J110" r:id="rId264" display="https://thais.ma/"/>
    <hyperlink ref="G111" r:id="rId265" display="info@together-fm.com"/>
    <hyperlink ref="J111" r:id="rId266" display="https://www.together-fm.com/"/>
    <hyperlink ref="K111" r:id="rId267" display="https://www.linkedin.com/company/together-fm/"/>
    <hyperlink ref="G112" r:id="rId268" display="info@tukole.africa"/>
    <hyperlink ref="J112" r:id="rId269" display="https://www.tukole.africa/"/>
    <hyperlink ref="G113" r:id="rId270" display="info@villacarekenya.com"/>
    <hyperlink ref="J113" r:id="rId271" display="https://villacarekenya.com/"/>
    <hyperlink ref="G114" r:id="rId272" display="info@wemaintaingh.com"/>
    <hyperlink ref="J114" r:id="rId273" display="https://wemaintaingh.com/"/>
    <hyperlink ref="G115" r:id="rId274" display="sales@aptechafrica.com"/>
    <hyperlink ref="J115" r:id="rId275" display="https://www.aptechafrica.com/"/>
    <hyperlink ref="G116" r:id="rId276" display="info@cpsolar.co.ke"/>
    <hyperlink ref="J116" r:id="rId277" display="https://www.cpsolar.co.ke/"/>
    <hyperlink ref="G117" r:id="rId278" display="info@dengltd.com"/>
    <hyperlink ref="J117" r:id="rId279" display="https://www.dengltd.com/"/>
    <hyperlink ref="G118" r:id="rId280" display="info@greenlink-regen.com"/>
    <hyperlink ref="J118" r:id="rId281" display="https://greenlink-regen.com/"/>
    <hyperlink ref="K118" r:id="rId282" display="https://www.linkedin.com/company/94254543"/>
    <hyperlink ref="G119" r:id="rId283" display="info@imexolutions.co.ke"/>
    <hyperlink ref="J119" r:id="rId284" display="https://www.imexolutions.co.ke/"/>
    <hyperlink ref="K119" r:id="rId285" display="https://www.linkedin.com/company/imexolutions-ltd/"/>
    <hyperlink ref="G120" r:id="rId286" display="talk2us@ofgen.africa"/>
    <hyperlink ref="J120" r:id="rId287" display="https://ofgen.africa/"/>
    <hyperlink ref="G121" r:id="rId288" display="info@ozosolar.com"/>
    <hyperlink ref="J121" r:id="rId289" display="https://www.ozosolar.com/"/>
    <hyperlink ref="G122" r:id="rId290" display="info@plexus-energy.co.ke"/>
    <hyperlink ref="J122" r:id="rId291" display="https://www.plexus-energy.co.ke/"/>
    <hyperlink ref="K122" r:id="rId292" display="https://www.linkedin.com/company/plexus-energy-limited/"/>
    <hyperlink ref="G123" r:id="rId293" display="info@renewvia.com"/>
    <hyperlink ref="J123" r:id="rId294" display="https://www.renewvia.com/"/>
    <hyperlink ref="K123" r:id="rId295" display="https://www.linkedin.com/company/renewvia-energy"/>
    <hyperlink ref="G124" r:id="rId296" display="info@solagroup.co.za"/>
    <hyperlink ref="J124" r:id="rId297" display="https://solagroup.co.za/"/>
    <hyperlink ref="K124" r:id="rId298" display="https://www.linkedin.com/company/3302293/"/>
    <hyperlink ref="G125" r:id="rId299" display="info@solarepc.co.za"/>
    <hyperlink ref="J125" r:id="rId300" display="https://www.solarepc.co.za/"/>
    <hyperlink ref="G126" r:id="rId301" display="info@solarafrica.com"/>
    <hyperlink ref="J126" r:id="rId302" display="https://solarafrica.com/"/>
    <hyperlink ref="K126" r:id="rId303" display="https://www.linkedin.com/company/solarafricasa/"/>
    <hyperlink ref="G127" r:id="rId304" display="info@solarxgen.com"/>
    <hyperlink ref="J127" r:id="rId305" display="https://solarxgen.co.za/"/>
    <hyperlink ref="G128" r:id="rId306" display="info@solargentechnologies.com"/>
    <hyperlink ref="J128" r:id="rId307" display="https://solargentechnologies.com/"/>
    <hyperlink ref="K128" r:id="rId308" display="https://ke.linkedin.com/company/solargen-technologies"/>
    <hyperlink ref="G129" r:id="rId309" display="info@specializedsolarsystems.co.za"/>
    <hyperlink ref="J129" r:id="rId310" display="https://specializedsolarsystems.co.za/"/>
    <hyperlink ref="K129" r:id="rId311" display="https://za.linkedin.com/company/specialized-solar-systems"/>
    <hyperlink ref="G130" r:id="rId312" display="jordan@sunbirdsolar.co.za"/>
    <hyperlink ref="J130" r:id="rId313" display="https://sunbirdsolar.co.za/"/>
    <hyperlink ref="G131" r:id="rId314" display="contact@sps.africa"/>
    <hyperlink ref="J131" r:id="rId315" display="https://sps.africa/"/>
    <hyperlink ref="K131" r:id="rId316" display="https://www.linkedin.com/company/sustainable-power-solutions/"/>
    <hyperlink ref="J132" r:id="rId317" display="https://alphamead.com/"/>
    <hyperlink ref="J133" r:id="rId318" display="https://eliezergroup.com/"/>
    <hyperlink ref="K133" r:id="rId319" display="https://ng.linkedin.com/company/eliezer-workplace-management-ltd"/>
    <hyperlink ref="J134" r:id="rId320" display="https://filmofacilities.com/"/>
    <hyperlink ref="K134" r:id="rId321" display="https://www.linkedin.com/company/filmorealestate/"/>
    <hyperlink ref="J135" r:id="rId322" display="https://bluecamelenergy.com.ng"/>
    <hyperlink ref="K135" r:id="rId323" display="https://ng.linkedin.com/company/blue-camel-energy"/>
    <hyperlink ref="J136" r:id="rId324" display="https://hiansenergy.com"/>
    <hyperlink ref="J137" r:id="rId325" display="https://www.afm-eg.com/en"/>
    <hyperlink ref="K137" r:id="rId326" display="https://www.linkedin.com/company/arab-facility-management/"/>
    <hyperlink ref="J138" r:id="rId327" display="https://www.facilitysolutiongroup.ma/"/>
    <hyperlink ref="J139" r:id="rId328" display="https://toac.co.za/"/>
    <hyperlink ref="K139" r:id="rId329" display="https://www.linkedin.com/company/two-oceans-airconditioning/"/>
    <hyperlink ref="J140" r:id="rId330" display="https://energyprecisions.com/"/>
    <hyperlink ref="J141" r:id="rId331" display="https://www.gle.solar/"/>
    <hyperlink ref="K141" r:id="rId332" display="https://rw.linkedin.com/company/greatlakesenergyrwanda"/>
    <hyperlink ref="G142" r:id="rId333" display="info@9solar.ng"/>
    <hyperlink ref="J142" r:id="rId334" display="https://9solar.ng"/>
    <hyperlink ref="G143" r:id="rId335" display="info@auxanosolar.com"/>
    <hyperlink ref="J143" r:id="rId336" display="https://auxanosolar.com"/>
    <hyperlink ref="K143" r:id="rId337" display="https://www.linkedin.com/in/auxanosolar/"/>
    <hyperlink ref="G144" r:id="rId338" display="info@cloudenergy.com.ng"/>
    <hyperlink ref="J144" r:id="rId339" display="https://cloudenergy.com.ng"/>
    <hyperlink ref="K144" r:id="rId340" display="https://www.linkedin.com/company/cloud-energy-photoelectric-limited/"/>
    <hyperlink ref="G145" r:id="rId341" display="info@consistent-energy.com"/>
    <hyperlink ref="J145" r:id="rId342" display="https://www.consistent-energy.com"/>
    <hyperlink ref="G146" r:id="rId343" display="info@creedsenergy.com"/>
    <hyperlink ref="J146" r:id="rId344" display="https://creedsenergy.com"/>
    <hyperlink ref="G147" r:id="rId345" display="hello@daystar-power.com"/>
    <hyperlink ref="J147" r:id="rId346" display="https://www.daystar-power.com"/>
    <hyperlink ref="K147" r:id="rId347" display="https://www.linkedin.com/company/daystar-power-group/"/>
    <hyperlink ref="G148" r:id="rId348" display="sales@energyexcell.com"/>
    <hyperlink ref="J148" r:id="rId349" display="https://www.energyexcell.com"/>
    <hyperlink ref="G149" r:id="rId350" display="enerplaz@yahoo.com"/>
    <hyperlink ref="J149" r:id="rId351" display="https://www.enerplaz.com"/>
    <hyperlink ref="G150" r:id="rId352" display="shs@greenpowernig.com"/>
    <hyperlink ref="J150" r:id="rId353" display="https://greenpower.ng"/>
    <hyperlink ref="K150" r:id="rId354" display="https://ng.linkedin.com/company/greenpower-overseas-limited-3208"/>
    <hyperlink ref="G151" r:id="rId355" display="info@salphaenergy.com"/>
    <hyperlink ref="J151" r:id="rId356" display="https://salphaenergy.com"/>
    <hyperlink ref="G152" r:id="rId357" display="solar@solyntaenergy.com"/>
    <hyperlink ref="J152" r:id="rId358" display="https://www.solyntaenergy.com"/>
    <hyperlink ref="K152" r:id="rId359" display="https://ng.linkedin.com/company/solynta-energy"/>
    <hyperlink ref="G153" r:id="rId360" display="info@starsightenergy.com"/>
    <hyperlink ref="J153" r:id="rId361" display="https://starsightenergy.com"/>
    <hyperlink ref="K153" r:id="rId362" display="https://www.linkedin.com/company/starsight-power-utility-limited/"/>
    <hyperlink ref="G154" r:id="rId363" display="info@kusoya.com"/>
    <hyperlink ref="J154" r:id="rId364" display="https://www.kusoya.com/"/>
    <hyperlink ref="K154" r:id="rId365" display="https://www.linkedin.com/company/kusoya-limited/"/>
    <hyperlink ref="G155" r:id="rId366" display="info@naikosolar.com"/>
    <hyperlink ref="J155" r:id="rId367" display="https://naikosolar.com/"/>
    <hyperlink ref="G156" r:id="rId368" display="info@translightsolar.com"/>
    <hyperlink ref="J156" r:id="rId369" display="https://translightsolar.com/"/>
    <hyperlink ref="K156" r:id="rId370" display="https://gh.linkedin.com/company/translightsolar"/>
    <hyperlink ref="G157" r:id="rId371" display="sales@versofy.energy"/>
    <hyperlink ref="J157" r:id="rId372" display="https://www.versofy.energy/"/>
    <hyperlink ref="K157" r:id="rId373" display="https://www.linkedin.com/company/versofy/"/>
    <hyperlink ref="J158" r:id="rId374" display="https://asolarnig.com"/>
    <hyperlink ref="K158" r:id="rId375" display="https://ng.linkedin.com/company/asolar-nigeria"/>
    <hyperlink ref="J159" r:id="rId376" display="https://www.arnergy.com"/>
    <hyperlink ref="K159" r:id="rId377" display="https://www.linkedin.com/company/arnergy"/>
    <hyperlink ref="J160" r:id="rId378" display="https://rhinoenergy.co.za/"/>
    <hyperlink ref="J161" r:id="rId379" display="https://www.solarnow.eu/"/>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8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3"/>
    <col collapsed="false" customWidth="true" hidden="false" outlineLevel="0" max="4" min="4" style="0" width="62"/>
    <col collapsed="false" customWidth="true" hidden="false" outlineLevel="0" max="6" min="5" style="0" width="13"/>
  </cols>
  <sheetData>
    <row r="1" customFormat="false" ht="17.35" hidden="false" customHeight="false" outlineLevel="0" collapsed="false">
      <c r="A1" s="9" t="s">
        <v>1121</v>
      </c>
    </row>
    <row r="2" customFormat="false" ht="15" hidden="false" customHeight="false" outlineLevel="0" collapsed="false">
      <c r="A2" s="10" t="s">
        <v>1122</v>
      </c>
    </row>
    <row r="4" customFormat="false" ht="15" hidden="false" customHeight="false" outlineLevel="0" collapsed="false">
      <c r="A4" s="11" t="s">
        <v>4</v>
      </c>
      <c r="B4" s="11" t="s">
        <v>113</v>
      </c>
      <c r="C4" s="11" t="s">
        <v>1123</v>
      </c>
      <c r="D4" s="11" t="s">
        <v>1124</v>
      </c>
      <c r="E4" s="11" t="s">
        <v>1125</v>
      </c>
      <c r="F4" s="11" t="s">
        <v>1126</v>
      </c>
    </row>
    <row r="5" customFormat="false" ht="15" hidden="false" customHeight="false" outlineLevel="0" collapsed="false">
      <c r="A5" s="12" t="s">
        <v>23</v>
      </c>
      <c r="B5" s="12" t="n">
        <f aca="false">COUNTIFS(Leads!$E$2:$E$161,$A5,Leads!$C$2:$C$161,"Solar")</f>
        <v>40</v>
      </c>
      <c r="C5" s="12" t="n">
        <f aca="false">COUNTIFS(Leads!$E$2:$E$161,$A5,Leads!$C$2:$C$161,"Facility management")</f>
        <v>40</v>
      </c>
      <c r="D5" s="12" t="n">
        <f aca="false">B5+C5</f>
        <v>80</v>
      </c>
      <c r="E5" s="12" t="n">
        <f aca="false">COUNTIFS(Leads!$E$2:$E$161,$A5,Leads!$G$2:$G$161,"&lt;&gt;")</f>
        <v>67</v>
      </c>
      <c r="F5" s="12" t="n">
        <f aca="false">COUNTIFS(Leads!$E$2:$E$161,$A5,Leads!$A$2:$A$161,"A")</f>
        <v>32</v>
      </c>
    </row>
    <row r="6" customFormat="false" ht="15" hidden="false" customHeight="false" outlineLevel="0" collapsed="false">
      <c r="A6" s="12" t="s">
        <v>287</v>
      </c>
      <c r="B6" s="12" t="n">
        <f aca="false">COUNTIFS(Leads!$E$2:$E$161,$A6,Leads!$C$2:$C$161,"Solar")</f>
        <v>0</v>
      </c>
      <c r="C6" s="12" t="n">
        <f aca="false">COUNTIFS(Leads!$E$2:$E$161,$A6,Leads!$C$2:$C$161,"Facility management")</f>
        <v>7</v>
      </c>
      <c r="D6" s="12" t="n">
        <f aca="false">B6+C6</f>
        <v>7</v>
      </c>
      <c r="E6" s="12" t="n">
        <f aca="false">COUNTIFS(Leads!$E$2:$E$161,$A6,Leads!$G$2:$G$161,"&lt;&gt;")</f>
        <v>6</v>
      </c>
      <c r="F6" s="12" t="n">
        <f aca="false">COUNTIFS(Leads!$E$2:$E$161,$A6,Leads!$A$2:$A$161,"A")</f>
        <v>1</v>
      </c>
    </row>
    <row r="7" customFormat="false" ht="15" hidden="false" customHeight="false" outlineLevel="0" collapsed="false">
      <c r="A7" s="12" t="s">
        <v>228</v>
      </c>
      <c r="B7" s="12" t="n">
        <f aca="false">COUNTIFS(Leads!$E$2:$E$161,$A7,Leads!$C$2:$C$161,"Solar")</f>
        <v>6</v>
      </c>
      <c r="C7" s="12" t="n">
        <f aca="false">COUNTIFS(Leads!$E$2:$E$161,$A7,Leads!$C$2:$C$161,"Facility management")</f>
        <v>9</v>
      </c>
      <c r="D7" s="12" t="n">
        <f aca="false">B7+C7</f>
        <v>15</v>
      </c>
      <c r="E7" s="12" t="n">
        <f aca="false">COUNTIFS(Leads!$E$2:$E$161,$A7,Leads!$G$2:$G$161,"&lt;&gt;")</f>
        <v>14</v>
      </c>
      <c r="F7" s="12" t="n">
        <f aca="false">COUNTIFS(Leads!$E$2:$E$161,$A7,Leads!$A$2:$A$161,"A")</f>
        <v>4</v>
      </c>
    </row>
    <row r="8" customFormat="false" ht="15" hidden="false" customHeight="false" outlineLevel="0" collapsed="false">
      <c r="A8" s="12" t="s">
        <v>279</v>
      </c>
      <c r="B8" s="12" t="n">
        <f aca="false">COUNTIFS(Leads!$E$2:$E$161,$A8,Leads!$C$2:$C$161,"Solar")</f>
        <v>10</v>
      </c>
      <c r="C8" s="12" t="n">
        <f aca="false">COUNTIFS(Leads!$E$2:$E$161,$A8,Leads!$C$2:$C$161,"Facility management")</f>
        <v>8</v>
      </c>
      <c r="D8" s="12" t="n">
        <f aca="false">B8+C8</f>
        <v>18</v>
      </c>
      <c r="E8" s="12" t="n">
        <f aca="false">COUNTIFS(Leads!$E$2:$E$161,$A8,Leads!$G$2:$G$161,"&lt;&gt;")</f>
        <v>18</v>
      </c>
      <c r="F8" s="12" t="n">
        <f aca="false">COUNTIFS(Leads!$E$2:$E$161,$A8,Leads!$A$2:$A$161,"A")</f>
        <v>5</v>
      </c>
    </row>
    <row r="9" customFormat="false" ht="15" hidden="false" customHeight="false" outlineLevel="0" collapsed="false">
      <c r="A9" s="12" t="s">
        <v>784</v>
      </c>
      <c r="B9" s="12" t="n">
        <f aca="false">COUNTIFS(Leads!$E$2:$E$161,$A9,Leads!$C$2:$C$161,"Solar")</f>
        <v>0</v>
      </c>
      <c r="C9" s="12" t="n">
        <f aca="false">COUNTIFS(Leads!$E$2:$E$161,$A9,Leads!$C$2:$C$161,"Facility management")</f>
        <v>2</v>
      </c>
      <c r="D9" s="12" t="n">
        <f aca="false">B9+C9</f>
        <v>2</v>
      </c>
      <c r="E9" s="12" t="n">
        <f aca="false">COUNTIFS(Leads!$E$2:$E$161,$A9,Leads!$G$2:$G$161,"&lt;&gt;")</f>
        <v>1</v>
      </c>
      <c r="F9" s="12" t="n">
        <f aca="false">COUNTIFS(Leads!$E$2:$E$161,$A9,Leads!$A$2:$A$161,"A")</f>
        <v>0</v>
      </c>
    </row>
    <row r="10" customFormat="false" ht="15" hidden="false" customHeight="false" outlineLevel="0" collapsed="false">
      <c r="A10" s="12" t="s">
        <v>322</v>
      </c>
      <c r="B10" s="12" t="n">
        <f aca="false">COUNTIFS(Leads!$E$2:$E$161,$A10,Leads!$C$2:$C$161,"Solar")</f>
        <v>2</v>
      </c>
      <c r="C10" s="12" t="n">
        <f aca="false">COUNTIFS(Leads!$E$2:$E$161,$A10,Leads!$C$2:$C$161,"Facility management")</f>
        <v>3</v>
      </c>
      <c r="D10" s="12" t="n">
        <f aca="false">B10+C10</f>
        <v>5</v>
      </c>
      <c r="E10" s="12" t="n">
        <f aca="false">COUNTIFS(Leads!$E$2:$E$161,$A10,Leads!$G$2:$G$161,"&lt;&gt;")</f>
        <v>3</v>
      </c>
      <c r="F10" s="12" t="n">
        <f aca="false">COUNTIFS(Leads!$E$2:$E$161,$A10,Leads!$A$2:$A$161,"A")</f>
        <v>2</v>
      </c>
    </row>
    <row r="11" customFormat="false" ht="15" hidden="false" customHeight="false" outlineLevel="0" collapsed="false">
      <c r="A11" s="12" t="s">
        <v>245</v>
      </c>
      <c r="B11" s="12" t="n">
        <f aca="false">COUNTIFS(Leads!$E$2:$E$161,$A11,Leads!$C$2:$C$161,"Solar")</f>
        <v>14</v>
      </c>
      <c r="C11" s="12" t="n">
        <f aca="false">COUNTIFS(Leads!$E$2:$E$161,$A11,Leads!$C$2:$C$161,"Facility management")</f>
        <v>8</v>
      </c>
      <c r="D11" s="12" t="n">
        <f aca="false">B11+C11</f>
        <v>22</v>
      </c>
      <c r="E11" s="12" t="n">
        <f aca="false">COUNTIFS(Leads!$E$2:$E$161,$A11,Leads!$G$2:$G$161,"&lt;&gt;")</f>
        <v>20</v>
      </c>
      <c r="F11" s="12" t="n">
        <f aca="false">COUNTIFS(Leads!$E$2:$E$161,$A11,Leads!$A$2:$A$161,"A")</f>
        <v>11</v>
      </c>
    </row>
    <row r="12" customFormat="false" ht="15" hidden="false" customHeight="false" outlineLevel="0" collapsed="false">
      <c r="A12" s="12" t="s">
        <v>236</v>
      </c>
      <c r="B12" s="12" t="n">
        <f aca="false">COUNTIFS(Leads!$E$2:$E$161,$A12,Leads!$C$2:$C$161,"Solar")</f>
        <v>4</v>
      </c>
      <c r="C12" s="12" t="n">
        <f aca="false">COUNTIFS(Leads!$E$2:$E$161,$A12,Leads!$C$2:$C$161,"Facility management")</f>
        <v>2</v>
      </c>
      <c r="D12" s="12" t="n">
        <f aca="false">B12+C12</f>
        <v>6</v>
      </c>
      <c r="E12" s="12" t="n">
        <f aca="false">COUNTIFS(Leads!$E$2:$E$161,$A12,Leads!$G$2:$G$161,"&lt;&gt;")</f>
        <v>6</v>
      </c>
      <c r="F12" s="12" t="n">
        <f aca="false">COUNTIFS(Leads!$E$2:$E$161,$A12,Leads!$A$2:$A$161,"A")</f>
        <v>4</v>
      </c>
    </row>
    <row r="13" customFormat="false" ht="15" hidden="false" customHeight="false" outlineLevel="0" collapsed="false">
      <c r="A13" s="12" t="s">
        <v>799</v>
      </c>
      <c r="B13" s="12" t="n">
        <f aca="false">COUNTIFS(Leads!$E$2:$E$161,$A13,Leads!$C$2:$C$161,"Solar")</f>
        <v>2</v>
      </c>
      <c r="C13" s="12" t="n">
        <f aca="false">COUNTIFS(Leads!$E$2:$E$161,$A13,Leads!$C$2:$C$161,"Facility management")</f>
        <v>1</v>
      </c>
      <c r="D13" s="12" t="n">
        <f aca="false">B13+C13</f>
        <v>3</v>
      </c>
      <c r="E13" s="12" t="n">
        <f aca="false">COUNTIFS(Leads!$E$2:$E$161,$A13,Leads!$G$2:$G$161,"&lt;&gt;")</f>
        <v>2</v>
      </c>
      <c r="F13" s="12" t="n">
        <f aca="false">COUNTIFS(Leads!$E$2:$E$161,$A13,Leads!$A$2:$A$161,"A")</f>
        <v>0</v>
      </c>
    </row>
    <row r="14" customFormat="false" ht="15" hidden="false" customHeight="false" outlineLevel="0" collapsed="false">
      <c r="A14" s="12" t="s">
        <v>376</v>
      </c>
      <c r="B14" s="12" t="n">
        <f aca="false">COUNTIFS(Leads!$E$2:$E$161,$A14,Leads!$C$2:$C$161,"Solar")</f>
        <v>2</v>
      </c>
      <c r="C14" s="12" t="n">
        <f aca="false">COUNTIFS(Leads!$E$2:$E$161,$A14,Leads!$C$2:$C$161,"Facility management")</f>
        <v>0</v>
      </c>
      <c r="D14" s="12" t="n">
        <f aca="false">B14+C14</f>
        <v>2</v>
      </c>
      <c r="E14" s="12" t="n">
        <f aca="false">COUNTIFS(Leads!$E$2:$E$161,$A14,Leads!$G$2:$G$161,"&lt;&gt;")</f>
        <v>1</v>
      </c>
      <c r="F14" s="12" t="n">
        <f aca="false">COUNTIFS(Leads!$E$2:$E$161,$A14,Leads!$A$2:$A$161,"A")</f>
        <v>2</v>
      </c>
    </row>
    <row r="15" customFormat="false" ht="15" hidden="false" customHeight="false" outlineLevel="0" collapsed="false">
      <c r="A15" s="13" t="s">
        <v>1124</v>
      </c>
      <c r="B15" s="13" t="n">
        <f aca="false">SUM(B5:B14)</f>
        <v>80</v>
      </c>
      <c r="C15" s="13" t="n">
        <f aca="false">SUM(C5:C14)</f>
        <v>80</v>
      </c>
      <c r="D15" s="13" t="n">
        <f aca="false">SUM(D5:D14)</f>
        <v>160</v>
      </c>
      <c r="E15" s="13" t="n">
        <f aca="false">SUM(E5:E14)</f>
        <v>138</v>
      </c>
      <c r="F15" s="13" t="n">
        <f aca="false">SUM(F5:F14)</f>
        <v>61</v>
      </c>
    </row>
    <row r="16" customFormat="false" ht="15" hidden="false" customHeight="false" outlineLevel="0" collapsed="false">
      <c r="A16" s="12"/>
      <c r="B16" s="12"/>
      <c r="C16" s="12"/>
      <c r="D16" s="12"/>
      <c r="E16" s="12"/>
      <c r="F16" s="12"/>
    </row>
    <row r="17" customFormat="false" ht="15" hidden="false" customHeight="false" outlineLevel="0" collapsed="false">
      <c r="A17" s="11" t="s">
        <v>0</v>
      </c>
      <c r="B17" s="11" t="s">
        <v>1127</v>
      </c>
      <c r="C17" s="11" t="s">
        <v>1125</v>
      </c>
      <c r="D17" s="11" t="s">
        <v>1128</v>
      </c>
      <c r="E17" s="12"/>
      <c r="F17" s="12"/>
    </row>
    <row r="18" customFormat="false" ht="15" hidden="false" customHeight="false" outlineLevel="0" collapsed="false">
      <c r="A18" s="14" t="s">
        <v>19</v>
      </c>
      <c r="B18" s="12" t="n">
        <f aca="false">COUNTIF(Leads!$A$2:$A$161,A18)</f>
        <v>61</v>
      </c>
      <c r="C18" s="12" t="n">
        <f aca="false">COUNTIFS(Leads!$A$2:$A$161,A18,Leads!$G$2:$G$161,"&lt;&gt;")</f>
        <v>53</v>
      </c>
      <c r="D18" s="12" t="s">
        <v>1129</v>
      </c>
      <c r="E18" s="12"/>
      <c r="F18" s="12"/>
    </row>
    <row r="19" customFormat="false" ht="15" hidden="false" customHeight="false" outlineLevel="0" collapsed="false">
      <c r="A19" s="15" t="s">
        <v>471</v>
      </c>
      <c r="B19" s="12" t="n">
        <f aca="false">COUNTIF(Leads!$A$2:$A$161,A19)</f>
        <v>79</v>
      </c>
      <c r="C19" s="12" t="n">
        <f aca="false">COUNTIFS(Leads!$A$2:$A$161,A19,Leads!$G$2:$G$161,"&lt;&gt;")</f>
        <v>69</v>
      </c>
      <c r="D19" s="12" t="s">
        <v>1130</v>
      </c>
      <c r="E19" s="12"/>
      <c r="F19" s="12"/>
    </row>
    <row r="20" customFormat="false" ht="15" hidden="false" customHeight="false" outlineLevel="0" collapsed="false">
      <c r="A20" s="16" t="s">
        <v>987</v>
      </c>
      <c r="B20" s="12" t="n">
        <f aca="false">COUNTIF(Leads!$A$2:$A$161,A20)</f>
        <v>20</v>
      </c>
      <c r="C20" s="12" t="n">
        <f aca="false">COUNTIFS(Leads!$A$2:$A$161,A20,Leads!$G$2:$G$161,"&lt;&gt;")</f>
        <v>16</v>
      </c>
      <c r="D20" s="12" t="s">
        <v>1131</v>
      </c>
      <c r="E20" s="12"/>
      <c r="F20" s="12"/>
    </row>
    <row r="21" customFormat="false" ht="15" hidden="false" customHeight="false" outlineLevel="0" collapsed="false">
      <c r="A21" s="12"/>
      <c r="B21" s="12"/>
      <c r="C21" s="12"/>
      <c r="D21" s="12"/>
      <c r="E21" s="12"/>
      <c r="F21" s="12"/>
    </row>
    <row r="22" customFormat="false" ht="15" hidden="false" customHeight="false" outlineLevel="0" collapsed="false">
      <c r="A22" s="11" t="s">
        <v>1132</v>
      </c>
      <c r="B22" s="11" t="s">
        <v>1133</v>
      </c>
      <c r="C22" s="12"/>
      <c r="D22" s="12"/>
      <c r="E22" s="12"/>
      <c r="F22" s="12"/>
    </row>
    <row r="23" customFormat="false" ht="15" hidden="false" customHeight="false" outlineLevel="0" collapsed="false">
      <c r="A23" s="12" t="s">
        <v>33</v>
      </c>
      <c r="B23" s="12" t="n">
        <f aca="false">COUNTIF(Leads!$Q$2:$Q$161,A23)</f>
        <v>160</v>
      </c>
      <c r="C23" s="12"/>
      <c r="D23" s="12"/>
      <c r="E23" s="12"/>
      <c r="F23" s="12"/>
    </row>
    <row r="24" customFormat="false" ht="15" hidden="false" customHeight="false" outlineLevel="0" collapsed="false">
      <c r="A24" s="12" t="s">
        <v>1134</v>
      </c>
      <c r="B24" s="12" t="n">
        <f aca="false">COUNTIF(Leads!$Q$2:$Q$161,A24)</f>
        <v>0</v>
      </c>
      <c r="C24" s="12"/>
      <c r="D24" s="12"/>
      <c r="E24" s="12"/>
      <c r="F24" s="12"/>
    </row>
    <row r="25" customFormat="false" ht="15" hidden="false" customHeight="false" outlineLevel="0" collapsed="false">
      <c r="A25" s="12" t="s">
        <v>1135</v>
      </c>
      <c r="B25" s="12" t="n">
        <f aca="false">COUNTIF(Leads!$Q$2:$Q$161,A25)</f>
        <v>0</v>
      </c>
      <c r="C25" s="12"/>
      <c r="D25" s="12"/>
      <c r="E25" s="12"/>
      <c r="F25" s="12"/>
    </row>
    <row r="26" customFormat="false" ht="15" hidden="false" customHeight="false" outlineLevel="0" collapsed="false">
      <c r="A26" s="12" t="s">
        <v>1136</v>
      </c>
      <c r="B26" s="12" t="n">
        <f aca="false">COUNTIF(Leads!$Q$2:$Q$161,A26)</f>
        <v>0</v>
      </c>
      <c r="C26" s="12"/>
      <c r="D26" s="12"/>
      <c r="E26" s="12"/>
      <c r="F26" s="12"/>
    </row>
    <row r="27" customFormat="false" ht="15" hidden="false" customHeight="false" outlineLevel="0" collapsed="false">
      <c r="A27" s="12" t="s">
        <v>1137</v>
      </c>
      <c r="B27" s="12" t="n">
        <f aca="false">COUNTIF(Leads!$Q$2:$Q$161,A27)</f>
        <v>0</v>
      </c>
      <c r="C27" s="12"/>
      <c r="D27" s="12"/>
      <c r="E27" s="12"/>
      <c r="F27" s="12"/>
    </row>
    <row r="28" customFormat="false" ht="15" hidden="false" customHeight="false" outlineLevel="0" collapsed="false">
      <c r="A28" s="12" t="s">
        <v>1138</v>
      </c>
      <c r="B28" s="12" t="n">
        <f aca="false">COUNTIF(Leads!$Q$2:$Q$161,A28)</f>
        <v>0</v>
      </c>
      <c r="C28" s="12"/>
      <c r="D28" s="12"/>
      <c r="E28" s="12"/>
      <c r="F28" s="12"/>
    </row>
    <row r="29" customFormat="false" ht="15" hidden="false" customHeight="false" outlineLevel="0" collapsed="false">
      <c r="A29" s="12" t="s">
        <v>1139</v>
      </c>
      <c r="B29" s="12" t="n">
        <f aca="false">COUNTIF(Leads!$Q$2:$Q$161,A29)</f>
        <v>0</v>
      </c>
      <c r="C29" s="12"/>
      <c r="D29" s="12"/>
      <c r="E29" s="12"/>
      <c r="F29" s="12"/>
    </row>
    <row r="30" customFormat="false" ht="15" hidden="false" customHeight="false" outlineLevel="0" collapsed="false">
      <c r="A30" s="12" t="s">
        <v>1140</v>
      </c>
      <c r="B30" s="12" t="n">
        <f aca="false">COUNTIF(Leads!$Q$2:$Q$161,A30)</f>
        <v>0</v>
      </c>
      <c r="C30" s="12"/>
      <c r="D30" s="12"/>
      <c r="E30" s="12"/>
      <c r="F30"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100"/>
  </cols>
  <sheetData>
    <row r="1" customFormat="false" ht="17.35" hidden="false" customHeight="false" outlineLevel="0" collapsed="false">
      <c r="A1" s="9" t="s">
        <v>1141</v>
      </c>
    </row>
    <row r="2" customFormat="false" ht="15" hidden="false" customHeight="false" outlineLevel="0" collapsed="false">
      <c r="A2" s="10" t="s">
        <v>1142</v>
      </c>
    </row>
    <row r="4" customFormat="false" ht="15" hidden="false" customHeight="false" outlineLevel="0" collapsed="false">
      <c r="A4" s="11" t="s">
        <v>2</v>
      </c>
      <c r="B4" s="11" t="s">
        <v>1143</v>
      </c>
      <c r="C4" s="11" t="s">
        <v>1144</v>
      </c>
    </row>
    <row r="5" customFormat="false" ht="315" hidden="false" customHeight="true" outlineLevel="0" collapsed="false">
      <c r="A5" s="17" t="s">
        <v>1145</v>
      </c>
      <c r="B5" s="18" t="s">
        <v>1146</v>
      </c>
      <c r="C5" s="19" t="s">
        <v>1147</v>
      </c>
    </row>
    <row r="6" customFormat="false" ht="165" hidden="false" customHeight="true" outlineLevel="0" collapsed="false">
      <c r="A6" s="17" t="s">
        <v>1145</v>
      </c>
      <c r="B6" s="18" t="s">
        <v>1148</v>
      </c>
      <c r="C6" s="19" t="s">
        <v>1149</v>
      </c>
    </row>
    <row r="7" customFormat="false" ht="120" hidden="false" customHeight="true" outlineLevel="0" collapsed="false">
      <c r="A7" s="17" t="s">
        <v>1145</v>
      </c>
      <c r="B7" s="18" t="s">
        <v>1150</v>
      </c>
      <c r="C7" s="19" t="s">
        <v>1151</v>
      </c>
    </row>
    <row r="8" customFormat="false" ht="315" hidden="false" customHeight="true" outlineLevel="0" collapsed="false">
      <c r="A8" s="17" t="s">
        <v>21</v>
      </c>
      <c r="B8" s="18" t="s">
        <v>1146</v>
      </c>
      <c r="C8" s="19" t="s">
        <v>1152</v>
      </c>
    </row>
    <row r="9" customFormat="false" ht="150" hidden="false" customHeight="true" outlineLevel="0" collapsed="false">
      <c r="A9" s="17" t="s">
        <v>21</v>
      </c>
      <c r="B9" s="18" t="s">
        <v>1148</v>
      </c>
      <c r="C9" s="19" t="s">
        <v>1153</v>
      </c>
    </row>
    <row r="10" customFormat="false" ht="105" hidden="false" customHeight="true" outlineLevel="0" collapsed="false">
      <c r="A10" s="17" t="s">
        <v>21</v>
      </c>
      <c r="B10" s="18" t="s">
        <v>1150</v>
      </c>
      <c r="C10" s="19" t="s">
        <v>1154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20" t="s">
        <v>1155</v>
      </c>
    </row>
    <row r="2" customFormat="false" ht="23.85" hidden="false" customHeight="false" outlineLevel="0" collapsed="false">
      <c r="A2" s="21" t="s">
        <v>1156</v>
      </c>
    </row>
    <row r="3" customFormat="false" ht="23.85" hidden="false" customHeight="false" outlineLevel="0" collapsed="false">
      <c r="A3" s="21" t="s">
        <v>1157</v>
      </c>
    </row>
    <row r="4" customFormat="false" ht="15" hidden="false" customHeight="false" outlineLevel="0" collapsed="false">
      <c r="A4" s="21" t="s">
        <v>1158</v>
      </c>
    </row>
    <row r="5" customFormat="false" ht="15" hidden="false" customHeight="false" outlineLevel="0" collapsed="false">
      <c r="A5" s="21"/>
    </row>
    <row r="6" customFormat="false" ht="15" hidden="false" customHeight="false" outlineLevel="0" collapsed="false">
      <c r="A6" s="20" t="s">
        <v>1159</v>
      </c>
    </row>
    <row r="7" customFormat="false" ht="23.85" hidden="false" customHeight="false" outlineLevel="0" collapsed="false">
      <c r="A7" s="21" t="s">
        <v>1160</v>
      </c>
    </row>
    <row r="8" customFormat="false" ht="23.85" hidden="false" customHeight="false" outlineLevel="0" collapsed="false">
      <c r="A8" s="21" t="s">
        <v>1161</v>
      </c>
    </row>
    <row r="9" customFormat="false" ht="15" hidden="false" customHeight="false" outlineLevel="0" collapsed="false">
      <c r="A9" s="21" t="s">
        <v>1162</v>
      </c>
    </row>
    <row r="10" customFormat="false" ht="35.05" hidden="false" customHeight="false" outlineLevel="0" collapsed="false">
      <c r="A10" s="21" t="s">
        <v>1163</v>
      </c>
    </row>
    <row r="11" customFormat="false" ht="15" hidden="false" customHeight="false" outlineLevel="0" collapsed="false">
      <c r="A11" s="21"/>
    </row>
    <row r="12" customFormat="false" ht="15" hidden="false" customHeight="false" outlineLevel="0" collapsed="false">
      <c r="A12" s="20" t="s">
        <v>1164</v>
      </c>
    </row>
    <row r="13" customFormat="false" ht="23.85" hidden="false" customHeight="false" outlineLevel="0" collapsed="false">
      <c r="A13" s="21" t="s">
        <v>1165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2026-09-22T16:27:21Z</dcterms:created>
  <dc:creator>openpyxl</dc:creator>
  <dc:description/>
  <dc:language>en-US</dc:language>
  <cp:lastModifiedBy/>
  <dcterms:modified xsi:type="dcterms:W3CDTF">2026-09-22T16:27:21Z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